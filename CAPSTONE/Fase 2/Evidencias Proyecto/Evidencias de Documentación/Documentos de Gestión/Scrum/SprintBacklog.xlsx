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tomi/Documents/CAPSTONE/pepsico-app/CAPSTONE/Fase 2/Evidencias Proyecto/Evidencias de Documentación/Documentos de Diseño/Scrum/"/>
    </mc:Choice>
  </mc:AlternateContent>
  <xr:revisionPtr revIDLastSave="0" documentId="13_ncr:1_{C3B665E1-3B8C-1E4E-98E9-0D293362B7B5}" xr6:coauthVersionLast="47" xr6:coauthVersionMax="47" xr10:uidLastSave="{00000000-0000-0000-0000-000000000000}"/>
  <bookViews>
    <workbookView xWindow="0" yWindow="500" windowWidth="44800" windowHeight="23000" xr2:uid="{00000000-000D-0000-FFFF-FFFF00000000}"/>
  </bookViews>
  <sheets>
    <sheet name="Historias de Usuario" sheetId="1" r:id="rId1"/>
    <sheet name="Hoja 1" sheetId="2" r:id="rId2"/>
    <sheet name="Instructiv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l9pD7eePa+cJ9x+nBSr51DgkpwyNoyU+nedyZbDPBG0="/>
    </ext>
  </extLst>
</workbook>
</file>

<file path=xl/calcChain.xml><?xml version="1.0" encoding="utf-8"?>
<calcChain xmlns="http://schemas.openxmlformats.org/spreadsheetml/2006/main">
  <c r="H47" i="1" l="1"/>
  <c r="G47" i="1"/>
  <c r="H2" i="1"/>
  <c r="B6" i="3"/>
  <c r="B5" i="3"/>
  <c r="BP46" i="1"/>
  <c r="BQ46" i="1" s="1"/>
  <c r="I46" i="1"/>
  <c r="L46" i="1" s="1"/>
  <c r="O46" i="1" s="1"/>
  <c r="R46" i="1" s="1"/>
  <c r="U46" i="1" s="1"/>
  <c r="X46" i="1" s="1"/>
  <c r="AA46" i="1" s="1"/>
  <c r="AD46" i="1" s="1"/>
  <c r="AG46" i="1" s="1"/>
  <c r="AJ46" i="1" s="1"/>
  <c r="AM46" i="1" s="1"/>
  <c r="AP46" i="1" s="1"/>
  <c r="AS46" i="1" s="1"/>
  <c r="AV46" i="1" s="1"/>
  <c r="AY46" i="1" s="1"/>
  <c r="BB46" i="1" s="1"/>
  <c r="BE46" i="1" s="1"/>
  <c r="BH46" i="1" s="1"/>
  <c r="BK46" i="1" s="1"/>
  <c r="BN46" i="1" s="1"/>
  <c r="BP45" i="1"/>
  <c r="BQ45" i="1" s="1"/>
  <c r="I45" i="1"/>
  <c r="L45" i="1" s="1"/>
  <c r="O45" i="1" s="1"/>
  <c r="R45" i="1" s="1"/>
  <c r="U45" i="1" s="1"/>
  <c r="X45" i="1" s="1"/>
  <c r="AA45" i="1" s="1"/>
  <c r="AD45" i="1" s="1"/>
  <c r="AG45" i="1" s="1"/>
  <c r="AJ45" i="1" s="1"/>
  <c r="AM45" i="1" s="1"/>
  <c r="AP45" i="1" s="1"/>
  <c r="AS45" i="1" s="1"/>
  <c r="AV45" i="1" s="1"/>
  <c r="AY45" i="1" s="1"/>
  <c r="BB45" i="1" s="1"/>
  <c r="BE45" i="1" s="1"/>
  <c r="BH45" i="1" s="1"/>
  <c r="BK45" i="1" s="1"/>
  <c r="BN45" i="1" s="1"/>
  <c r="BP44" i="1"/>
  <c r="BQ44" i="1" s="1"/>
  <c r="I44" i="1"/>
  <c r="L44" i="1" s="1"/>
  <c r="O44" i="1" s="1"/>
  <c r="R44" i="1" s="1"/>
  <c r="U44" i="1" s="1"/>
  <c r="X44" i="1" s="1"/>
  <c r="AA44" i="1" s="1"/>
  <c r="AD44" i="1" s="1"/>
  <c r="AG44" i="1" s="1"/>
  <c r="AJ44" i="1" s="1"/>
  <c r="AM44" i="1" s="1"/>
  <c r="AP44" i="1" s="1"/>
  <c r="AS44" i="1" s="1"/>
  <c r="AV44" i="1" s="1"/>
  <c r="AY44" i="1" s="1"/>
  <c r="BB44" i="1" s="1"/>
  <c r="BE44" i="1" s="1"/>
  <c r="BH44" i="1" s="1"/>
  <c r="BK44" i="1" s="1"/>
  <c r="BN44" i="1" s="1"/>
  <c r="BP43" i="1"/>
  <c r="BQ43" i="1" s="1"/>
  <c r="I43" i="1"/>
  <c r="L43" i="1" s="1"/>
  <c r="O43" i="1" s="1"/>
  <c r="R43" i="1" s="1"/>
  <c r="U43" i="1" s="1"/>
  <c r="X43" i="1" s="1"/>
  <c r="AA43" i="1" s="1"/>
  <c r="AD43" i="1" s="1"/>
  <c r="AG43" i="1" s="1"/>
  <c r="AJ43" i="1" s="1"/>
  <c r="AM43" i="1" s="1"/>
  <c r="AP43" i="1" s="1"/>
  <c r="AS43" i="1" s="1"/>
  <c r="AV43" i="1" s="1"/>
  <c r="AY43" i="1" s="1"/>
  <c r="BB43" i="1" s="1"/>
  <c r="BE43" i="1" s="1"/>
  <c r="BH43" i="1" s="1"/>
  <c r="BK43" i="1" s="1"/>
  <c r="BN43" i="1" s="1"/>
  <c r="BP42" i="1"/>
  <c r="BQ42" i="1" s="1"/>
  <c r="I42" i="1"/>
  <c r="L42" i="1" s="1"/>
  <c r="O42" i="1" s="1"/>
  <c r="R42" i="1" s="1"/>
  <c r="U42" i="1" s="1"/>
  <c r="X42" i="1" s="1"/>
  <c r="AA42" i="1" s="1"/>
  <c r="AD42" i="1" s="1"/>
  <c r="AG42" i="1" s="1"/>
  <c r="AJ42" i="1" s="1"/>
  <c r="AM42" i="1" s="1"/>
  <c r="AP42" i="1" s="1"/>
  <c r="AS42" i="1" s="1"/>
  <c r="AV42" i="1" s="1"/>
  <c r="AY42" i="1" s="1"/>
  <c r="BB42" i="1" s="1"/>
  <c r="BE42" i="1" s="1"/>
  <c r="BH42" i="1" s="1"/>
  <c r="BK42" i="1" s="1"/>
  <c r="BN42" i="1" s="1"/>
  <c r="BP41" i="1"/>
  <c r="BQ41" i="1" s="1"/>
  <c r="I41" i="1"/>
  <c r="L41" i="1" s="1"/>
  <c r="O41" i="1" s="1"/>
  <c r="R41" i="1" s="1"/>
  <c r="U41" i="1" s="1"/>
  <c r="X41" i="1" s="1"/>
  <c r="AA41" i="1" s="1"/>
  <c r="AD41" i="1" s="1"/>
  <c r="AG41" i="1" s="1"/>
  <c r="AJ41" i="1" s="1"/>
  <c r="AM41" i="1" s="1"/>
  <c r="AP41" i="1" s="1"/>
  <c r="AS41" i="1" s="1"/>
  <c r="AV41" i="1" s="1"/>
  <c r="AY41" i="1" s="1"/>
  <c r="BB41" i="1" s="1"/>
  <c r="BE41" i="1" s="1"/>
  <c r="BH41" i="1" s="1"/>
  <c r="BK41" i="1" s="1"/>
  <c r="BN41" i="1" s="1"/>
  <c r="BP40" i="1"/>
  <c r="BQ40" i="1" s="1"/>
  <c r="I40" i="1"/>
  <c r="L40" i="1" s="1"/>
  <c r="O40" i="1" s="1"/>
  <c r="R40" i="1" s="1"/>
  <c r="U40" i="1" s="1"/>
  <c r="X40" i="1" s="1"/>
  <c r="AA40" i="1" s="1"/>
  <c r="AD40" i="1" s="1"/>
  <c r="AG40" i="1" s="1"/>
  <c r="AJ40" i="1" s="1"/>
  <c r="AM40" i="1" s="1"/>
  <c r="AP40" i="1" s="1"/>
  <c r="AS40" i="1" s="1"/>
  <c r="AV40" i="1" s="1"/>
  <c r="AY40" i="1" s="1"/>
  <c r="BB40" i="1" s="1"/>
  <c r="BE40" i="1" s="1"/>
  <c r="BH40" i="1" s="1"/>
  <c r="BK40" i="1" s="1"/>
  <c r="BN40" i="1" s="1"/>
  <c r="BP39" i="1"/>
  <c r="BQ39" i="1" s="1"/>
  <c r="I39" i="1"/>
  <c r="L39" i="1" s="1"/>
  <c r="O39" i="1" s="1"/>
  <c r="R39" i="1" s="1"/>
  <c r="U39" i="1" s="1"/>
  <c r="X39" i="1" s="1"/>
  <c r="AA39" i="1" s="1"/>
  <c r="AD39" i="1" s="1"/>
  <c r="AG39" i="1" s="1"/>
  <c r="AJ39" i="1" s="1"/>
  <c r="AM39" i="1" s="1"/>
  <c r="AP39" i="1" s="1"/>
  <c r="AS39" i="1" s="1"/>
  <c r="AV39" i="1" s="1"/>
  <c r="AY39" i="1" s="1"/>
  <c r="BB39" i="1" s="1"/>
  <c r="BE39" i="1" s="1"/>
  <c r="BH39" i="1" s="1"/>
  <c r="BK39" i="1" s="1"/>
  <c r="BN39" i="1" s="1"/>
  <c r="BP38" i="1"/>
  <c r="BQ38" i="1" s="1"/>
  <c r="I38" i="1"/>
  <c r="L38" i="1" s="1"/>
  <c r="O38" i="1" s="1"/>
  <c r="R38" i="1" s="1"/>
  <c r="U38" i="1" s="1"/>
  <c r="X38" i="1" s="1"/>
  <c r="AA38" i="1" s="1"/>
  <c r="AD38" i="1" s="1"/>
  <c r="AG38" i="1" s="1"/>
  <c r="AJ38" i="1" s="1"/>
  <c r="AM38" i="1" s="1"/>
  <c r="AP38" i="1" s="1"/>
  <c r="AS38" i="1" s="1"/>
  <c r="AV38" i="1" s="1"/>
  <c r="AY38" i="1" s="1"/>
  <c r="BB38" i="1" s="1"/>
  <c r="BE38" i="1" s="1"/>
  <c r="BH38" i="1" s="1"/>
  <c r="BK38" i="1" s="1"/>
  <c r="BN38" i="1" s="1"/>
  <c r="BP37" i="1"/>
  <c r="BQ37" i="1" s="1"/>
  <c r="I37" i="1"/>
  <c r="L37" i="1" s="1"/>
  <c r="O37" i="1" s="1"/>
  <c r="R37" i="1" s="1"/>
  <c r="U37" i="1" s="1"/>
  <c r="X37" i="1" s="1"/>
  <c r="AA37" i="1" s="1"/>
  <c r="AD37" i="1" s="1"/>
  <c r="AG37" i="1" s="1"/>
  <c r="AJ37" i="1" s="1"/>
  <c r="AM37" i="1" s="1"/>
  <c r="AP37" i="1" s="1"/>
  <c r="AS37" i="1" s="1"/>
  <c r="AV37" i="1" s="1"/>
  <c r="AY37" i="1" s="1"/>
  <c r="BB37" i="1" s="1"/>
  <c r="BE37" i="1" s="1"/>
  <c r="BH37" i="1" s="1"/>
  <c r="BK37" i="1" s="1"/>
  <c r="BN37" i="1" s="1"/>
  <c r="BP36" i="1"/>
  <c r="BQ36" i="1" s="1"/>
  <c r="I36" i="1"/>
  <c r="L36" i="1" s="1"/>
  <c r="O36" i="1" s="1"/>
  <c r="R36" i="1" s="1"/>
  <c r="U36" i="1" s="1"/>
  <c r="X36" i="1" s="1"/>
  <c r="AA36" i="1" s="1"/>
  <c r="AD36" i="1" s="1"/>
  <c r="AG36" i="1" s="1"/>
  <c r="AJ36" i="1" s="1"/>
  <c r="AM36" i="1" s="1"/>
  <c r="AP36" i="1" s="1"/>
  <c r="AS36" i="1" s="1"/>
  <c r="AV36" i="1" s="1"/>
  <c r="AY36" i="1" s="1"/>
  <c r="BB36" i="1" s="1"/>
  <c r="BE36" i="1" s="1"/>
  <c r="BH36" i="1" s="1"/>
  <c r="BK36" i="1" s="1"/>
  <c r="BN36" i="1" s="1"/>
  <c r="BP35" i="1"/>
  <c r="BQ35" i="1" s="1"/>
  <c r="I35" i="1"/>
  <c r="L35" i="1" s="1"/>
  <c r="O35" i="1" s="1"/>
  <c r="R35" i="1" s="1"/>
  <c r="U35" i="1" s="1"/>
  <c r="X35" i="1" s="1"/>
  <c r="AA35" i="1" s="1"/>
  <c r="AD35" i="1" s="1"/>
  <c r="AG35" i="1" s="1"/>
  <c r="AJ35" i="1" s="1"/>
  <c r="AM35" i="1" s="1"/>
  <c r="AP35" i="1" s="1"/>
  <c r="AS35" i="1" s="1"/>
  <c r="AV35" i="1" s="1"/>
  <c r="AY35" i="1" s="1"/>
  <c r="BB35" i="1" s="1"/>
  <c r="BE35" i="1" s="1"/>
  <c r="BH35" i="1" s="1"/>
  <c r="BK35" i="1" s="1"/>
  <c r="BN35" i="1" s="1"/>
  <c r="BP34" i="1"/>
  <c r="BQ34" i="1" s="1"/>
  <c r="I34" i="1"/>
  <c r="L34" i="1" s="1"/>
  <c r="O34" i="1" s="1"/>
  <c r="R34" i="1" s="1"/>
  <c r="U34" i="1" s="1"/>
  <c r="X34" i="1" s="1"/>
  <c r="AA34" i="1" s="1"/>
  <c r="AD34" i="1" s="1"/>
  <c r="AG34" i="1" s="1"/>
  <c r="AJ34" i="1" s="1"/>
  <c r="AM34" i="1" s="1"/>
  <c r="AP34" i="1" s="1"/>
  <c r="AS34" i="1" s="1"/>
  <c r="AV34" i="1" s="1"/>
  <c r="AY34" i="1" s="1"/>
  <c r="BB34" i="1" s="1"/>
  <c r="BE34" i="1" s="1"/>
  <c r="BH34" i="1" s="1"/>
  <c r="BK34" i="1" s="1"/>
  <c r="BN34" i="1" s="1"/>
  <c r="BP33" i="1"/>
  <c r="BQ33" i="1" s="1"/>
  <c r="I33" i="1"/>
  <c r="L33" i="1" s="1"/>
  <c r="O33" i="1" s="1"/>
  <c r="R33" i="1" s="1"/>
  <c r="U33" i="1" s="1"/>
  <c r="X33" i="1" s="1"/>
  <c r="AA33" i="1" s="1"/>
  <c r="AD33" i="1" s="1"/>
  <c r="AG33" i="1" s="1"/>
  <c r="AJ33" i="1" s="1"/>
  <c r="AM33" i="1" s="1"/>
  <c r="AP33" i="1" s="1"/>
  <c r="AS33" i="1" s="1"/>
  <c r="AV33" i="1" s="1"/>
  <c r="AY33" i="1" s="1"/>
  <c r="BB33" i="1" s="1"/>
  <c r="BE33" i="1" s="1"/>
  <c r="BH33" i="1" s="1"/>
  <c r="BK33" i="1" s="1"/>
  <c r="BN33" i="1" s="1"/>
  <c r="BP32" i="1"/>
  <c r="BQ32" i="1" s="1"/>
  <c r="I32" i="1"/>
  <c r="L32" i="1" s="1"/>
  <c r="O32" i="1" s="1"/>
  <c r="R32" i="1" s="1"/>
  <c r="U32" i="1" s="1"/>
  <c r="X32" i="1" s="1"/>
  <c r="AA32" i="1" s="1"/>
  <c r="AD32" i="1" s="1"/>
  <c r="AG32" i="1" s="1"/>
  <c r="AJ32" i="1" s="1"/>
  <c r="AM32" i="1" s="1"/>
  <c r="AP32" i="1" s="1"/>
  <c r="AS32" i="1" s="1"/>
  <c r="AV32" i="1" s="1"/>
  <c r="AY32" i="1" s="1"/>
  <c r="BB32" i="1" s="1"/>
  <c r="BE32" i="1" s="1"/>
  <c r="BH32" i="1" s="1"/>
  <c r="BK32" i="1" s="1"/>
  <c r="BN32" i="1" s="1"/>
  <c r="BP31" i="1"/>
  <c r="BQ31" i="1" s="1"/>
  <c r="I31" i="1"/>
  <c r="L31" i="1" s="1"/>
  <c r="O31" i="1" s="1"/>
  <c r="R31" i="1" s="1"/>
  <c r="U31" i="1" s="1"/>
  <c r="X31" i="1" s="1"/>
  <c r="AA31" i="1" s="1"/>
  <c r="AD31" i="1" s="1"/>
  <c r="AG31" i="1" s="1"/>
  <c r="AJ31" i="1" s="1"/>
  <c r="AM31" i="1" s="1"/>
  <c r="AP31" i="1" s="1"/>
  <c r="AS31" i="1" s="1"/>
  <c r="AV31" i="1" s="1"/>
  <c r="AY31" i="1" s="1"/>
  <c r="BB31" i="1" s="1"/>
  <c r="BE31" i="1" s="1"/>
  <c r="BH31" i="1" s="1"/>
  <c r="BK31" i="1" s="1"/>
  <c r="BN31" i="1" s="1"/>
  <c r="BP30" i="1"/>
  <c r="BQ30" i="1" s="1"/>
  <c r="I30" i="1"/>
  <c r="L30" i="1" s="1"/>
  <c r="O30" i="1" s="1"/>
  <c r="R30" i="1" s="1"/>
  <c r="U30" i="1" s="1"/>
  <c r="X30" i="1" s="1"/>
  <c r="AA30" i="1" s="1"/>
  <c r="AD30" i="1" s="1"/>
  <c r="AG30" i="1" s="1"/>
  <c r="AJ30" i="1" s="1"/>
  <c r="AM30" i="1" s="1"/>
  <c r="AP30" i="1" s="1"/>
  <c r="AS30" i="1" s="1"/>
  <c r="AV30" i="1" s="1"/>
  <c r="AY30" i="1" s="1"/>
  <c r="BB30" i="1" s="1"/>
  <c r="BE30" i="1" s="1"/>
  <c r="BH30" i="1" s="1"/>
  <c r="BK30" i="1" s="1"/>
  <c r="BN30" i="1" s="1"/>
  <c r="BP29" i="1"/>
  <c r="BQ29" i="1" s="1"/>
  <c r="I29" i="1"/>
  <c r="L29" i="1" s="1"/>
  <c r="O29" i="1" s="1"/>
  <c r="R29" i="1" s="1"/>
  <c r="U29" i="1" s="1"/>
  <c r="X29" i="1" s="1"/>
  <c r="AA29" i="1" s="1"/>
  <c r="AD29" i="1" s="1"/>
  <c r="AG29" i="1" s="1"/>
  <c r="AJ29" i="1" s="1"/>
  <c r="AM29" i="1" s="1"/>
  <c r="AP29" i="1" s="1"/>
  <c r="AS29" i="1" s="1"/>
  <c r="AV29" i="1" s="1"/>
  <c r="AY29" i="1" s="1"/>
  <c r="BB29" i="1" s="1"/>
  <c r="BE29" i="1" s="1"/>
  <c r="BH29" i="1" s="1"/>
  <c r="BK29" i="1" s="1"/>
  <c r="BN29" i="1" s="1"/>
  <c r="BP28" i="1"/>
  <c r="BQ28" i="1" s="1"/>
  <c r="I28" i="1"/>
  <c r="L28" i="1" s="1"/>
  <c r="O28" i="1" s="1"/>
  <c r="R28" i="1" s="1"/>
  <c r="U28" i="1" s="1"/>
  <c r="X28" i="1" s="1"/>
  <c r="AA28" i="1" s="1"/>
  <c r="AD28" i="1" s="1"/>
  <c r="AG28" i="1" s="1"/>
  <c r="AJ28" i="1" s="1"/>
  <c r="AM28" i="1" s="1"/>
  <c r="AP28" i="1" s="1"/>
  <c r="AS28" i="1" s="1"/>
  <c r="AV28" i="1" s="1"/>
  <c r="AY28" i="1" s="1"/>
  <c r="BB28" i="1" s="1"/>
  <c r="BE28" i="1" s="1"/>
  <c r="BH28" i="1" s="1"/>
  <c r="BK28" i="1" s="1"/>
  <c r="BN28" i="1" s="1"/>
  <c r="BP27" i="1"/>
  <c r="BQ27" i="1" s="1"/>
  <c r="I27" i="1"/>
  <c r="L27" i="1" s="1"/>
  <c r="O27" i="1" s="1"/>
  <c r="R27" i="1" s="1"/>
  <c r="U27" i="1" s="1"/>
  <c r="X27" i="1" s="1"/>
  <c r="AA27" i="1" s="1"/>
  <c r="AD27" i="1" s="1"/>
  <c r="AG27" i="1" s="1"/>
  <c r="AJ27" i="1" s="1"/>
  <c r="AM27" i="1" s="1"/>
  <c r="AP27" i="1" s="1"/>
  <c r="AS27" i="1" s="1"/>
  <c r="AV27" i="1" s="1"/>
  <c r="AY27" i="1" s="1"/>
  <c r="BB27" i="1" s="1"/>
  <c r="BE27" i="1" s="1"/>
  <c r="BH27" i="1" s="1"/>
  <c r="BK27" i="1" s="1"/>
  <c r="BN27" i="1" s="1"/>
  <c r="BP26" i="1"/>
  <c r="BQ26" i="1" s="1"/>
  <c r="I26" i="1"/>
  <c r="L26" i="1" s="1"/>
  <c r="O26" i="1" s="1"/>
  <c r="R26" i="1" s="1"/>
  <c r="U26" i="1" s="1"/>
  <c r="X26" i="1" s="1"/>
  <c r="AA26" i="1" s="1"/>
  <c r="AD26" i="1" s="1"/>
  <c r="AG26" i="1" s="1"/>
  <c r="AJ26" i="1" s="1"/>
  <c r="AM26" i="1" s="1"/>
  <c r="AP26" i="1" s="1"/>
  <c r="AS26" i="1" s="1"/>
  <c r="AV26" i="1" s="1"/>
  <c r="AY26" i="1" s="1"/>
  <c r="BB26" i="1" s="1"/>
  <c r="BE26" i="1" s="1"/>
  <c r="BH26" i="1" s="1"/>
  <c r="BK26" i="1" s="1"/>
  <c r="BN26" i="1" s="1"/>
  <c r="BP25" i="1"/>
  <c r="BQ25" i="1" s="1"/>
  <c r="I25" i="1"/>
  <c r="L25" i="1" s="1"/>
  <c r="O25" i="1" s="1"/>
  <c r="R25" i="1" s="1"/>
  <c r="U25" i="1" s="1"/>
  <c r="X25" i="1" s="1"/>
  <c r="AA25" i="1" s="1"/>
  <c r="AD25" i="1" s="1"/>
  <c r="AG25" i="1" s="1"/>
  <c r="AJ25" i="1" s="1"/>
  <c r="AM25" i="1" s="1"/>
  <c r="AP25" i="1" s="1"/>
  <c r="AS25" i="1" s="1"/>
  <c r="AV25" i="1" s="1"/>
  <c r="AY25" i="1" s="1"/>
  <c r="BB25" i="1" s="1"/>
  <c r="BE25" i="1" s="1"/>
  <c r="BH25" i="1" s="1"/>
  <c r="BK25" i="1" s="1"/>
  <c r="BN25" i="1" s="1"/>
  <c r="BP24" i="1"/>
  <c r="BQ24" i="1" s="1"/>
  <c r="I24" i="1"/>
  <c r="L24" i="1" s="1"/>
  <c r="O24" i="1" s="1"/>
  <c r="R24" i="1" s="1"/>
  <c r="U24" i="1" s="1"/>
  <c r="X24" i="1" s="1"/>
  <c r="AA24" i="1" s="1"/>
  <c r="AD24" i="1" s="1"/>
  <c r="AG24" i="1" s="1"/>
  <c r="AJ24" i="1" s="1"/>
  <c r="AM24" i="1" s="1"/>
  <c r="AP24" i="1" s="1"/>
  <c r="AS24" i="1" s="1"/>
  <c r="AV24" i="1" s="1"/>
  <c r="AY24" i="1" s="1"/>
  <c r="BB24" i="1" s="1"/>
  <c r="BE24" i="1" s="1"/>
  <c r="BH24" i="1" s="1"/>
  <c r="BK24" i="1" s="1"/>
  <c r="BN24" i="1" s="1"/>
  <c r="BP23" i="1"/>
  <c r="BQ23" i="1" s="1"/>
  <c r="I23" i="1"/>
  <c r="L23" i="1" s="1"/>
  <c r="O23" i="1" s="1"/>
  <c r="R23" i="1" s="1"/>
  <c r="U23" i="1" s="1"/>
  <c r="X23" i="1" s="1"/>
  <c r="AA23" i="1" s="1"/>
  <c r="AD23" i="1" s="1"/>
  <c r="AG23" i="1" s="1"/>
  <c r="AJ23" i="1" s="1"/>
  <c r="AM23" i="1" s="1"/>
  <c r="AP23" i="1" s="1"/>
  <c r="AS23" i="1" s="1"/>
  <c r="AV23" i="1" s="1"/>
  <c r="AY23" i="1" s="1"/>
  <c r="BB23" i="1" s="1"/>
  <c r="BE23" i="1" s="1"/>
  <c r="BH23" i="1" s="1"/>
  <c r="BK23" i="1" s="1"/>
  <c r="BN23" i="1" s="1"/>
  <c r="BP22" i="1"/>
  <c r="BQ22" i="1" s="1"/>
  <c r="I22" i="1"/>
  <c r="L22" i="1" s="1"/>
  <c r="O22" i="1" s="1"/>
  <c r="R22" i="1" s="1"/>
  <c r="U22" i="1" s="1"/>
  <c r="X22" i="1" s="1"/>
  <c r="AA22" i="1" s="1"/>
  <c r="AD22" i="1" s="1"/>
  <c r="AG22" i="1" s="1"/>
  <c r="AJ22" i="1" s="1"/>
  <c r="AM22" i="1" s="1"/>
  <c r="AP22" i="1" s="1"/>
  <c r="AS22" i="1" s="1"/>
  <c r="AV22" i="1" s="1"/>
  <c r="AY22" i="1" s="1"/>
  <c r="BB22" i="1" s="1"/>
  <c r="BE22" i="1" s="1"/>
  <c r="BH22" i="1" s="1"/>
  <c r="BK22" i="1" s="1"/>
  <c r="BN22" i="1" s="1"/>
  <c r="BP21" i="1"/>
  <c r="BQ21" i="1" s="1"/>
  <c r="I21" i="1"/>
  <c r="L21" i="1" s="1"/>
  <c r="O21" i="1" s="1"/>
  <c r="R21" i="1" s="1"/>
  <c r="U21" i="1" s="1"/>
  <c r="X21" i="1" s="1"/>
  <c r="AA21" i="1" s="1"/>
  <c r="AD21" i="1" s="1"/>
  <c r="AG21" i="1" s="1"/>
  <c r="AJ21" i="1" s="1"/>
  <c r="AM21" i="1" s="1"/>
  <c r="AP21" i="1" s="1"/>
  <c r="AS21" i="1" s="1"/>
  <c r="AV21" i="1" s="1"/>
  <c r="AY21" i="1" s="1"/>
  <c r="BB21" i="1" s="1"/>
  <c r="BE21" i="1" s="1"/>
  <c r="BH21" i="1" s="1"/>
  <c r="BK21" i="1" s="1"/>
  <c r="BN21" i="1" s="1"/>
  <c r="BP20" i="1"/>
  <c r="BQ20" i="1" s="1"/>
  <c r="I20" i="1"/>
  <c r="L20" i="1" s="1"/>
  <c r="O20" i="1" s="1"/>
  <c r="R20" i="1" s="1"/>
  <c r="U20" i="1" s="1"/>
  <c r="X20" i="1" s="1"/>
  <c r="AA20" i="1" s="1"/>
  <c r="AD20" i="1" s="1"/>
  <c r="AG20" i="1" s="1"/>
  <c r="AJ20" i="1" s="1"/>
  <c r="AM20" i="1" s="1"/>
  <c r="AP20" i="1" s="1"/>
  <c r="AS20" i="1" s="1"/>
  <c r="AV20" i="1" s="1"/>
  <c r="AY20" i="1" s="1"/>
  <c r="BB20" i="1" s="1"/>
  <c r="BE20" i="1" s="1"/>
  <c r="BH20" i="1" s="1"/>
  <c r="BK20" i="1" s="1"/>
  <c r="BN20" i="1" s="1"/>
  <c r="BP19" i="1"/>
  <c r="BQ19" i="1" s="1"/>
  <c r="X19" i="1"/>
  <c r="AA19" i="1" s="1"/>
  <c r="AD19" i="1" s="1"/>
  <c r="AG19" i="1" s="1"/>
  <c r="AJ19" i="1" s="1"/>
  <c r="AM19" i="1" s="1"/>
  <c r="AP19" i="1" s="1"/>
  <c r="AS19" i="1" s="1"/>
  <c r="AV19" i="1" s="1"/>
  <c r="AY19" i="1" s="1"/>
  <c r="BB19" i="1" s="1"/>
  <c r="BE19" i="1" s="1"/>
  <c r="BH19" i="1" s="1"/>
  <c r="BK19" i="1" s="1"/>
  <c r="BN19" i="1" s="1"/>
  <c r="I19" i="1"/>
  <c r="L19" i="1" s="1"/>
  <c r="O19" i="1" s="1"/>
  <c r="R19" i="1" s="1"/>
  <c r="U19" i="1" s="1"/>
  <c r="BP18" i="1"/>
  <c r="BQ18" i="1" s="1"/>
  <c r="I18" i="1"/>
  <c r="L18" i="1" s="1"/>
  <c r="O18" i="1" s="1"/>
  <c r="R18" i="1" s="1"/>
  <c r="U18" i="1" s="1"/>
  <c r="X18" i="1" s="1"/>
  <c r="AA18" i="1" s="1"/>
  <c r="AD18" i="1" s="1"/>
  <c r="AG18" i="1" s="1"/>
  <c r="AJ18" i="1" s="1"/>
  <c r="AM18" i="1" s="1"/>
  <c r="AP18" i="1" s="1"/>
  <c r="AS18" i="1" s="1"/>
  <c r="AV18" i="1" s="1"/>
  <c r="AY18" i="1" s="1"/>
  <c r="BB18" i="1" s="1"/>
  <c r="BE18" i="1" s="1"/>
  <c r="BH18" i="1" s="1"/>
  <c r="BK18" i="1" s="1"/>
  <c r="BN18" i="1" s="1"/>
  <c r="BP17" i="1"/>
  <c r="BQ17" i="1" s="1"/>
  <c r="I17" i="1"/>
  <c r="L17" i="1" s="1"/>
  <c r="O17" i="1" s="1"/>
  <c r="R17" i="1" s="1"/>
  <c r="U17" i="1" s="1"/>
  <c r="X17" i="1" s="1"/>
  <c r="AA17" i="1" s="1"/>
  <c r="AD17" i="1" s="1"/>
  <c r="AG17" i="1" s="1"/>
  <c r="AJ17" i="1" s="1"/>
  <c r="AM17" i="1" s="1"/>
  <c r="AP17" i="1" s="1"/>
  <c r="AS17" i="1" s="1"/>
  <c r="AV17" i="1" s="1"/>
  <c r="AY17" i="1" s="1"/>
  <c r="BB17" i="1" s="1"/>
  <c r="BE17" i="1" s="1"/>
  <c r="BH17" i="1" s="1"/>
  <c r="BK17" i="1" s="1"/>
  <c r="BN17" i="1" s="1"/>
  <c r="BP16" i="1"/>
  <c r="BQ16" i="1" s="1"/>
  <c r="I16" i="1"/>
  <c r="L16" i="1" s="1"/>
  <c r="O16" i="1" s="1"/>
  <c r="R16" i="1" s="1"/>
  <c r="U16" i="1" s="1"/>
  <c r="X16" i="1" s="1"/>
  <c r="AA16" i="1" s="1"/>
  <c r="AD16" i="1" s="1"/>
  <c r="AG16" i="1" s="1"/>
  <c r="AJ16" i="1" s="1"/>
  <c r="AM16" i="1" s="1"/>
  <c r="AP16" i="1" s="1"/>
  <c r="AS16" i="1" s="1"/>
  <c r="AV16" i="1" s="1"/>
  <c r="AY16" i="1" s="1"/>
  <c r="BB16" i="1" s="1"/>
  <c r="BE16" i="1" s="1"/>
  <c r="BH16" i="1" s="1"/>
  <c r="BK16" i="1" s="1"/>
  <c r="BN16" i="1" s="1"/>
  <c r="BP15" i="1"/>
  <c r="BQ15" i="1" s="1"/>
  <c r="I15" i="1"/>
  <c r="L15" i="1" s="1"/>
  <c r="O15" i="1" s="1"/>
  <c r="R15" i="1" s="1"/>
  <c r="U15" i="1" s="1"/>
  <c r="X15" i="1" s="1"/>
  <c r="AA15" i="1" s="1"/>
  <c r="AD15" i="1" s="1"/>
  <c r="AG15" i="1" s="1"/>
  <c r="AJ15" i="1" s="1"/>
  <c r="AM15" i="1" s="1"/>
  <c r="AP15" i="1" s="1"/>
  <c r="AS15" i="1" s="1"/>
  <c r="AV15" i="1" s="1"/>
  <c r="AY15" i="1" s="1"/>
  <c r="BB15" i="1" s="1"/>
  <c r="BE15" i="1" s="1"/>
  <c r="BH15" i="1" s="1"/>
  <c r="BK15" i="1" s="1"/>
  <c r="BN15" i="1" s="1"/>
  <c r="BP14" i="1"/>
  <c r="BQ14" i="1" s="1"/>
  <c r="I14" i="1"/>
  <c r="L14" i="1" s="1"/>
  <c r="O14" i="1" s="1"/>
  <c r="R14" i="1" s="1"/>
  <c r="U14" i="1" s="1"/>
  <c r="X14" i="1" s="1"/>
  <c r="AA14" i="1" s="1"/>
  <c r="AD14" i="1" s="1"/>
  <c r="AG14" i="1" s="1"/>
  <c r="AJ14" i="1" s="1"/>
  <c r="AM14" i="1" s="1"/>
  <c r="AP14" i="1" s="1"/>
  <c r="AS14" i="1" s="1"/>
  <c r="AV14" i="1" s="1"/>
  <c r="AY14" i="1" s="1"/>
  <c r="BB14" i="1" s="1"/>
  <c r="BE14" i="1" s="1"/>
  <c r="BH14" i="1" s="1"/>
  <c r="BK14" i="1" s="1"/>
  <c r="BN14" i="1" s="1"/>
  <c r="BP13" i="1"/>
  <c r="BQ13" i="1" s="1"/>
  <c r="I13" i="1"/>
  <c r="L13" i="1" s="1"/>
  <c r="O13" i="1" s="1"/>
  <c r="R13" i="1" s="1"/>
  <c r="U13" i="1" s="1"/>
  <c r="X13" i="1" s="1"/>
  <c r="AA13" i="1" s="1"/>
  <c r="AD13" i="1" s="1"/>
  <c r="AG13" i="1" s="1"/>
  <c r="AJ13" i="1" s="1"/>
  <c r="AM13" i="1" s="1"/>
  <c r="AP13" i="1" s="1"/>
  <c r="AS13" i="1" s="1"/>
  <c r="AV13" i="1" s="1"/>
  <c r="AY13" i="1" s="1"/>
  <c r="BB13" i="1" s="1"/>
  <c r="BE13" i="1" s="1"/>
  <c r="BH13" i="1" s="1"/>
  <c r="BK13" i="1" s="1"/>
  <c r="BN13" i="1" s="1"/>
  <c r="BP12" i="1"/>
  <c r="BQ12" i="1" s="1"/>
  <c r="I12" i="1"/>
  <c r="L12" i="1" s="1"/>
  <c r="O12" i="1" s="1"/>
  <c r="R12" i="1" s="1"/>
  <c r="U12" i="1" s="1"/>
  <c r="X12" i="1" s="1"/>
  <c r="AA12" i="1" s="1"/>
  <c r="AD12" i="1" s="1"/>
  <c r="AG12" i="1" s="1"/>
  <c r="AJ12" i="1" s="1"/>
  <c r="AM12" i="1" s="1"/>
  <c r="AP12" i="1" s="1"/>
  <c r="AS12" i="1" s="1"/>
  <c r="AV12" i="1" s="1"/>
  <c r="AY12" i="1" s="1"/>
  <c r="BB12" i="1" s="1"/>
  <c r="BE12" i="1" s="1"/>
  <c r="BH12" i="1" s="1"/>
  <c r="BK12" i="1" s="1"/>
  <c r="BN12" i="1" s="1"/>
  <c r="BP11" i="1"/>
  <c r="BQ11" i="1" s="1"/>
  <c r="I11" i="1"/>
  <c r="L11" i="1" s="1"/>
  <c r="O11" i="1" s="1"/>
  <c r="R11" i="1" s="1"/>
  <c r="U11" i="1" s="1"/>
  <c r="X11" i="1" s="1"/>
  <c r="AA11" i="1" s="1"/>
  <c r="AD11" i="1" s="1"/>
  <c r="AG11" i="1" s="1"/>
  <c r="AJ11" i="1" s="1"/>
  <c r="AM11" i="1" s="1"/>
  <c r="AP11" i="1" s="1"/>
  <c r="AS11" i="1" s="1"/>
  <c r="AV11" i="1" s="1"/>
  <c r="AY11" i="1" s="1"/>
  <c r="BB11" i="1" s="1"/>
  <c r="BE11" i="1" s="1"/>
  <c r="BH11" i="1" s="1"/>
  <c r="BK11" i="1" s="1"/>
  <c r="BN11" i="1" s="1"/>
  <c r="BP10" i="1"/>
  <c r="BQ10" i="1" s="1"/>
  <c r="I10" i="1"/>
  <c r="L10" i="1" s="1"/>
  <c r="O10" i="1" s="1"/>
  <c r="R10" i="1" s="1"/>
  <c r="U10" i="1" s="1"/>
  <c r="X10" i="1" s="1"/>
  <c r="AA10" i="1" s="1"/>
  <c r="AD10" i="1" s="1"/>
  <c r="AG10" i="1" s="1"/>
  <c r="AJ10" i="1" s="1"/>
  <c r="AM10" i="1" s="1"/>
  <c r="AP10" i="1" s="1"/>
  <c r="AS10" i="1" s="1"/>
  <c r="AV10" i="1" s="1"/>
  <c r="AY10" i="1" s="1"/>
  <c r="BB10" i="1" s="1"/>
  <c r="BE10" i="1" s="1"/>
  <c r="BH10" i="1" s="1"/>
  <c r="BK10" i="1" s="1"/>
  <c r="BN10" i="1" s="1"/>
  <c r="BP9" i="1"/>
  <c r="BQ9" i="1" s="1"/>
  <c r="I9" i="1"/>
  <c r="L9" i="1" s="1"/>
  <c r="O9" i="1" s="1"/>
  <c r="R9" i="1" s="1"/>
  <c r="U9" i="1" s="1"/>
  <c r="X9" i="1" s="1"/>
  <c r="AA9" i="1" s="1"/>
  <c r="AD9" i="1" s="1"/>
  <c r="AG9" i="1" s="1"/>
  <c r="AJ9" i="1" s="1"/>
  <c r="AM9" i="1" s="1"/>
  <c r="AP9" i="1" s="1"/>
  <c r="AS9" i="1" s="1"/>
  <c r="AV9" i="1" s="1"/>
  <c r="AY9" i="1" s="1"/>
  <c r="BB9" i="1" s="1"/>
  <c r="BE9" i="1" s="1"/>
  <c r="BH9" i="1" s="1"/>
  <c r="BK9" i="1" s="1"/>
  <c r="BN9" i="1" s="1"/>
  <c r="BP8" i="1"/>
  <c r="BQ8" i="1" s="1"/>
  <c r="I8" i="1"/>
  <c r="L8" i="1" s="1"/>
  <c r="O8" i="1" s="1"/>
  <c r="R8" i="1" s="1"/>
  <c r="U8" i="1" s="1"/>
  <c r="X8" i="1" s="1"/>
  <c r="AA8" i="1" s="1"/>
  <c r="AD8" i="1" s="1"/>
  <c r="AG8" i="1" s="1"/>
  <c r="AJ8" i="1" s="1"/>
  <c r="AM8" i="1" s="1"/>
  <c r="AP8" i="1" s="1"/>
  <c r="AS8" i="1" s="1"/>
  <c r="AV8" i="1" s="1"/>
  <c r="AY8" i="1" s="1"/>
  <c r="BB8" i="1" s="1"/>
  <c r="BE8" i="1" s="1"/>
  <c r="BH8" i="1" s="1"/>
  <c r="BK8" i="1" s="1"/>
  <c r="BN8" i="1" s="1"/>
  <c r="BP7" i="1"/>
  <c r="BQ7" i="1" s="1"/>
  <c r="I7" i="1"/>
  <c r="L7" i="1" s="1"/>
  <c r="O7" i="1" s="1"/>
  <c r="R7" i="1" s="1"/>
  <c r="U7" i="1" s="1"/>
  <c r="X7" i="1" s="1"/>
  <c r="AA7" i="1" s="1"/>
  <c r="AD7" i="1" s="1"/>
  <c r="AG7" i="1" s="1"/>
  <c r="AJ7" i="1" s="1"/>
  <c r="AM7" i="1" s="1"/>
  <c r="AP7" i="1" s="1"/>
  <c r="AS7" i="1" s="1"/>
  <c r="AV7" i="1" s="1"/>
  <c r="AY7" i="1" s="1"/>
  <c r="BB7" i="1" s="1"/>
  <c r="BE7" i="1" s="1"/>
  <c r="BH7" i="1" s="1"/>
  <c r="BK7" i="1" s="1"/>
  <c r="BN7" i="1" s="1"/>
  <c r="BP6" i="1"/>
  <c r="BQ6" i="1" s="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<sst xmlns="http://schemas.openxmlformats.org/spreadsheetml/2006/main" count="409" uniqueCount="126">
  <si>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</si>
  <si>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</si>
  <si>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</si>
  <si>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</si>
  <si>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</si>
  <si>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</si>
  <si>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</si>
  <si>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</si>
  <si>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</si>
  <si>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</si>
  <si>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</si>
  <si>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</si>
  <si>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</si>
  <si>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</si>
  <si>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</si>
  <si>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</si>
  <si>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</si>
  <si>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</si>
  <si>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</si>
  <si>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</si>
  <si>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</si>
  <si>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</si>
  <si>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</si>
  <si>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</si>
  <si>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</si>
  <si>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</si>
  <si>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</si>
  <si>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</si>
  <si>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</si>
  <si>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</si>
  <si>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</si>
  <si>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</si>
  <si>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SB-001</t>
  </si>
  <si>
    <t>Como un Jefe de Taller, necesito programar agendas de mantenimiento evitando solapamientos, con la finalidad de optimizar el uso del taller y recursos</t>
  </si>
  <si>
    <t>Desarrollar interfaz de calendario visual para reservas</t>
  </si>
  <si>
    <t>Tomás Aguilera</t>
  </si>
  <si>
    <t>Completado</t>
  </si>
  <si>
    <t>Diseñar algoritmo de detección de conflictos de horarios</t>
  </si>
  <si>
    <t>Implementar validaciones de disponibilidad de espacios</t>
  </si>
  <si>
    <t>Crear notificaciones de confirmación de reservas</t>
  </si>
  <si>
    <t>Pendiente</t>
  </si>
  <si>
    <t>SB-002</t>
  </si>
  <si>
    <t>Como un Recepcionista, necesito registrar el ingreso de vehículos al taller con patente, ruta y chofer, con la finalidad de controlar y documentar el ingreso de vehículos para mantenimiento</t>
  </si>
  <si>
    <t>Crear formulario de registro de ingresos con campos requeridos</t>
  </si>
  <si>
    <t>Implementar subida y almacenamiento de imágenes del vehículo</t>
  </si>
  <si>
    <t>Desarrollar lógica de validación de patentes existentes</t>
  </si>
  <si>
    <t>Integrar registro por guardia vs recepcionista</t>
  </si>
  <si>
    <t>SB-003</t>
  </si>
  <si>
    <t>Como un Guardia, necesito reportar incidentes durante entradas/salidas, con la finalidad de documentar novedades y asegurar protocolos de seguridad</t>
  </si>
  <si>
    <t>Crear módulo de reporte de incidentes en portería</t>
  </si>
  <si>
    <t>Implementar flujo de autorización por correo electrónico</t>
  </si>
  <si>
    <t>Desarrollar registro visual de daños en vehículos</t>
  </si>
  <si>
    <t>Crear alertas automáticas para incidentes críticos</t>
  </si>
  <si>
    <t>SB-004</t>
  </si>
  <si>
    <t>Como un Mecánico, necesito realizar diagnóstico básico de fallas al ingreso, con la finalidad de identificar problemas iniciales y planificar reparaciones</t>
  </si>
  <si>
    <t>Desarrollar formulario de diagnóstico inicial</t>
  </si>
  <si>
    <t>Implementar checklist de componentes (neumáticos, parabrisas, etc.)</t>
  </si>
  <si>
    <t>Crear base de datos para almacenar diagnósticos</t>
  </si>
  <si>
    <t>Integrar control de calidad por jefe de taller</t>
  </si>
  <si>
    <t>SB-005</t>
  </si>
  <si>
    <t>Como un Jefe de Taller, necesito gestionar órdenes de trabajo integradas con SAP, con la finalidad de coordinar reparaciones y repuestos necesarios</t>
  </si>
  <si>
    <t>Desarrollar interfaz de gestión de OT</t>
  </si>
  <si>
    <t>Crear flujo de aprobación de OT</t>
  </si>
  <si>
    <t>Desarrollar seguimiento de estado de OT</t>
  </si>
  <si>
    <t>SB-006</t>
  </si>
  <si>
    <t>Como un Supervisor, necesito asignar tareas a mecánicos según experiencia y urgencia, con la finalidad de optimizar la distribución de trabajo</t>
  </si>
  <si>
    <t>Crear algoritmo de asignación automática</t>
  </si>
  <si>
    <t>Desarrollar interfaz de asignación manual</t>
  </si>
  <si>
    <t>Implementar dashboard de monitoreo de progreso</t>
  </si>
  <si>
    <t>Crear sistema de reasignación de tareas</t>
  </si>
  <si>
    <t>SB-007</t>
  </si>
  <si>
    <t>Como un Bodeguero, necesito gestionar inventario de repuestos según OT, con la finalidad de mantener stock actualizado y evitar faltantes</t>
  </si>
  <si>
    <t>Desarrollar módulo de gestión de inventario</t>
  </si>
  <si>
    <t>Implementar recepción y entrega de repuestos</t>
  </si>
  <si>
    <t>Crear alertas de stock bajo mínimo</t>
  </si>
  <si>
    <t>Integrar comunicación con proveedores</t>
  </si>
  <si>
    <t>SB-008</t>
  </si>
  <si>
    <t>Como un Mecánico, necesito gestionar pausas en procesos sin cerrar tareas, con la finalidad de registrar tiempos reales y obtener autorizaciones</t>
  </si>
  <si>
    <t>Crear formulario de registro de pausas</t>
  </si>
  <si>
    <t>Implementar sistema de autorización de pausas</t>
  </si>
  <si>
    <t>Desarrollar extensión automática de mantenciones</t>
  </si>
  <si>
    <t>Crear reporte de impacto de pausas en tiempos</t>
  </si>
  <si>
    <t>SB-009</t>
  </si>
  <si>
    <t>Como un Jefe de Flota, necesito recibir notificaciones automáticas del estado de vehículos, con la finalidad de mantener informado sobre el progreso de mantenimientos</t>
  </si>
  <si>
    <t>Desarrollar sistema de notificaciones por correo</t>
  </si>
  <si>
    <t>Crear plantillas de notificación para diferentes eventos</t>
  </si>
  <si>
    <t>Implementar centralización de comunicación</t>
  </si>
  <si>
    <t>Eliminar dependencias de WhatsApp/Excel</t>
  </si>
  <si>
    <t>SB-010</t>
  </si>
  <si>
    <t>Como un Coordinador, necesito generar reportes automáticos de productividad y KPIs, con la finalidad de tomar decisiones basadas en datos</t>
  </si>
  <si>
    <t>Desarrollar generador de reportes diarios/semanales</t>
  </si>
  <si>
    <t>Crear exportación a Excel y Power BI</t>
  </si>
  <si>
    <t>Implementar métricas de eficiencia de mecánicos</t>
  </si>
  <si>
    <t>Desarrollar dashboard de indicadores de flota</t>
  </si>
  <si>
    <t>SB-011</t>
  </si>
  <si>
    <t>Como un Recepcionista, necesito subir y gestionar documentos e imágenes, con la finalidad de documentar tareas y validar información</t>
  </si>
  <si>
    <t>Desarrollar sistema de subida de archivos multimedia</t>
  </si>
  <si>
    <t>Crear acceso centralizado por patente</t>
  </si>
  <si>
    <t>Implementar control de llaves y documentos</t>
  </si>
  <si>
    <t>Desarrollar consulta de históricos (45 días)</t>
  </si>
  <si>
    <t>Elaborado por: Equipo de Desarrollo Capstone</t>
  </si>
  <si>
    <t>Desarrollador Frontend</t>
  </si>
  <si>
    <t>Desarrollador Backend</t>
  </si>
  <si>
    <t>Desarrollador Fullstack</t>
  </si>
  <si>
    <t>Implementar integración con API de SAP</t>
  </si>
  <si>
    <t>Nota:</t>
  </si>
  <si>
    <t>- Las historias están ordenadas según las categorías de completación especificadas</t>
  </si>
  <si>
    <t>- Las horas estimadas son totales por historia (suma de tareas)</t>
  </si>
  <si>
    <t>- Los dueños/voluntarios están asignados según roles técnicos del equipo de desarrollo</t>
  </si>
  <si>
    <t>- El estatus inicial es "Pendiente" para todas las tareas</t>
  </si>
  <si>
    <t>- Las tareas están desglosadas en subtareas manejables para desarrollo ágil</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</si>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</sst>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font>
    <font>
      <b/>
      <sz val="22"/>
      <color theme="1"/>
      <name val="Calibri"/>
      <family val="2"/>
    </font>
    <font>
      <b/>
      <sz val="16"/>
      <color rgb="FF1F497D"/>
      <name val="Calibri"/>
      <family val="2"/>
    </font>
    <font>
      <sz val="11"/>
      <color theme="0"/>
      <name val="Calibri"/>
      <family val="2"/>
    </font>
    <font>
      <sz val="11"/>
      <name val="Calibri"/>
      <family val="2"/>
    </font>
    <font>
      <b/>
      <sz val="11"/>
      <color rgb="FF6AA84F"/>
      <name val="Calibri"/>
      <family val="2"/>
    </font>
    <font>
      <b/>
      <sz val="11"/>
      <color rgb="FFE69138"/>
      <name val="Calibri"/>
      <family val="2"/>
    </font>
    <font>
      <b/>
      <sz val="11"/>
      <color rgb="FF6AA84F"/>
      <name val="Calibri"/>
      <family val="2"/>
      <scheme val="minor"/>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8">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1" xfId="0" applyFont="1" applyFill="1" applyBorder="1"/>
    <xf numFmtId="0" fontId="1" fillId="2" borderId="1" xfId="0" applyFont="1" applyFill="1" applyBorder="1" applyAlignment="1">
      <alignment wrapText="1"/>
    </xf>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0" borderId="0" xfId="0" applyFont="1" applyAlignment="1">
      <alignment wrapText="1"/>
    </xf>
    <xf numFmtId="0" fontId="1" fillId="0" borderId="5" xfId="0" applyFont="1" applyBorder="1" applyAlignment="1">
      <alignment wrapText="1"/>
    </xf>
    <xf numFmtId="0" fontId="6"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7" fillId="2" borderId="5" xfId="0" applyFont="1" applyFill="1" applyBorder="1" applyAlignment="1">
      <alignment horizontal="left" vertical="top" wrapText="1"/>
    </xf>
    <xf numFmtId="0" fontId="1" fillId="2" borderId="7" xfId="0" applyFont="1" applyFill="1" applyBorder="1"/>
    <xf numFmtId="0" fontId="1" fillId="0" borderId="0" xfId="0" applyFont="1"/>
    <xf numFmtId="0" fontId="1" fillId="0" borderId="0" xfId="0" applyFont="1" applyAlignment="1">
      <alignment horizontal="right"/>
    </xf>
    <xf numFmtId="0" fontId="4" fillId="3" borderId="5" xfId="0" applyFont="1" applyFill="1" applyBorder="1"/>
    <xf numFmtId="0" fontId="4" fillId="3" borderId="2" xfId="0" applyFont="1" applyFill="1" applyBorder="1" applyAlignment="1">
      <alignment horizontal="center" vertical="center" wrapText="1"/>
    </xf>
    <xf numFmtId="0" fontId="5" fillId="0" borderId="3" xfId="0" applyFont="1" applyBorder="1"/>
    <xf numFmtId="0" fontId="8" fillId="6"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997"/>
  <sheetViews>
    <sheetView tabSelected="1" workbookViewId="0">
      <pane xSplit="6" ySplit="5" topLeftCell="G39" activePane="bottomRight" state="frozen"/>
      <selection pane="topRight" activeCell="G1" sqref="G1"/>
      <selection pane="bottomLeft" activeCell="A6" sqref="A6"/>
      <selection pane="bottomRight" activeCell="N54" sqref="N54"/>
    </sheetView>
  </sheetViews>
  <sheetFormatPr baseColWidth="10" defaultColWidth="14.5" defaultRowHeight="15" customHeight="1" x14ac:dyDescent="0.2"/>
  <cols>
    <col min="1" max="1" width="1.5" customWidth="1"/>
    <col min="2" max="2" width="16.5" customWidth="1"/>
    <col min="3" max="3" width="34" customWidth="1"/>
    <col min="4" max="4" width="20.83203125" customWidth="1"/>
    <col min="5" max="5" width="10.5" customWidth="1"/>
    <col min="6" max="6" width="11.83203125" customWidth="1"/>
    <col min="7" max="7" width="15.5" customWidth="1"/>
    <col min="8" max="8" width="5.83203125" customWidth="1"/>
    <col min="9" max="9" width="5.5" customWidth="1"/>
    <col min="10" max="10" width="2.6640625" customWidth="1"/>
    <col min="11" max="11" width="5.83203125" customWidth="1"/>
    <col min="12" max="12" width="5.5" customWidth="1"/>
    <col min="13" max="13" width="2.6640625" customWidth="1"/>
    <col min="14" max="14" width="5.83203125" customWidth="1"/>
    <col min="15" max="15" width="5.5" customWidth="1"/>
    <col min="16" max="16" width="2.6640625" customWidth="1"/>
    <col min="17" max="17" width="5.83203125" customWidth="1"/>
    <col min="18" max="18" width="5.5" customWidth="1"/>
    <col min="19" max="19" width="2.6640625" customWidth="1"/>
    <col min="20" max="20" width="5.83203125" customWidth="1"/>
    <col min="21" max="21" width="5.5" customWidth="1"/>
    <col min="22" max="22" width="2.6640625" customWidth="1"/>
    <col min="23" max="23" width="5.83203125" customWidth="1"/>
    <col min="24" max="24" width="5.5" customWidth="1"/>
    <col min="25" max="25" width="2.6640625" customWidth="1"/>
    <col min="26" max="26" width="5.83203125" customWidth="1"/>
    <col min="27" max="27" width="5.5" customWidth="1"/>
    <col min="28" max="28" width="2.6640625" customWidth="1"/>
    <col min="29" max="29" width="5.83203125" customWidth="1"/>
    <col min="30" max="30" width="5.5" customWidth="1"/>
    <col min="31" max="31" width="2.6640625" customWidth="1"/>
    <col min="32" max="32" width="5.83203125" customWidth="1"/>
    <col min="33" max="33" width="5.5" customWidth="1"/>
    <col min="34" max="34" width="2.6640625" customWidth="1"/>
    <col min="35" max="35" width="5.83203125" customWidth="1"/>
    <col min="36" max="36" width="5.5" customWidth="1"/>
    <col min="37" max="37" width="2.6640625" customWidth="1"/>
    <col min="38" max="38" width="5.83203125" customWidth="1"/>
    <col min="39" max="39" width="5.5" customWidth="1"/>
    <col min="40" max="40" width="2.6640625" customWidth="1"/>
    <col min="41" max="41" width="5.83203125" customWidth="1"/>
    <col min="42" max="42" width="5.5" customWidth="1"/>
    <col min="43" max="43" width="2.6640625" customWidth="1"/>
    <col min="44" max="44" width="5.83203125" customWidth="1"/>
    <col min="45" max="45" width="5.5" customWidth="1"/>
    <col min="46" max="46" width="2.6640625" customWidth="1"/>
    <col min="47" max="47" width="5.83203125" customWidth="1"/>
    <col min="48" max="48" width="5.5" customWidth="1"/>
    <col min="49" max="49" width="2.6640625" customWidth="1"/>
    <col min="50" max="50" width="5.83203125" customWidth="1"/>
    <col min="51" max="51" width="5.5" customWidth="1"/>
    <col min="52" max="52" width="2.6640625" customWidth="1"/>
    <col min="53" max="53" width="5.83203125" customWidth="1"/>
    <col min="54" max="54" width="5.5" customWidth="1"/>
    <col min="55" max="55" width="2.6640625" customWidth="1"/>
    <col min="56" max="56" width="5.83203125" customWidth="1"/>
    <col min="57" max="57" width="5.5" customWidth="1"/>
    <col min="58" max="58" width="2.6640625" customWidth="1"/>
    <col min="59" max="59" width="5.83203125" customWidth="1"/>
    <col min="60" max="60" width="5.5" customWidth="1"/>
    <col min="61" max="61" width="2.6640625" customWidth="1"/>
    <col min="62" max="62" width="5.83203125" customWidth="1"/>
    <col min="63" max="63" width="5.5" customWidth="1"/>
    <col min="64" max="64" width="2.6640625" customWidth="1"/>
    <col min="65" max="65" width="5.83203125" customWidth="1"/>
    <col min="66" max="66" width="5.5" customWidth="1"/>
    <col min="67" max="67" width="2.6640625" customWidth="1"/>
    <col min="68" max="68" width="5.83203125" customWidth="1"/>
    <col min="69" max="69" width="5.5" customWidth="1"/>
  </cols>
  <sheetData>
    <row r="1" spans="1:69" ht="29" x14ac:dyDescent="0.35">
      <c r="A1" s="1"/>
      <c r="B1" s="2" t="s">
        <v>0</v>
      </c>
      <c r="C1" s="3"/>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ht="29" x14ac:dyDescent="0.35">
      <c r="A2" s="1"/>
      <c r="B2" s="2" t="s">
        <v>1</v>
      </c>
      <c r="C2" s="3"/>
      <c r="D2" s="1"/>
      <c r="E2" s="1"/>
      <c r="F2" s="1"/>
      <c r="G2" s="1"/>
      <c r="H2" s="1">
        <f>SUM(H6,H7,H8,H10,H11,H12,H13,H14,H16,H18,H19,H21,H23,H24,H25,H26,H27,H28,H29,H31,H32,H33,H34,H39,H40,H41,H42,H43,H44,H46)</f>
        <v>80</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21" x14ac:dyDescent="0.25">
      <c r="A3" s="1"/>
      <c r="B3" s="4" t="s">
        <v>2</v>
      </c>
      <c r="C3" s="3"/>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x14ac:dyDescent="0.2">
      <c r="A4" s="1"/>
      <c r="B4" s="1"/>
      <c r="C4" s="3"/>
      <c r="D4" s="1"/>
      <c r="E4" s="1"/>
      <c r="F4" s="1"/>
      <c r="G4" s="1"/>
      <c r="H4" s="20" t="s">
        <v>3</v>
      </c>
      <c r="I4" s="21"/>
      <c r="J4" s="5"/>
      <c r="K4" s="20" t="s">
        <v>4</v>
      </c>
      <c r="L4" s="21"/>
      <c r="M4" s="5"/>
      <c r="N4" s="20" t="s">
        <v>5</v>
      </c>
      <c r="O4" s="21"/>
      <c r="P4" s="5"/>
      <c r="Q4" s="20" t="s">
        <v>6</v>
      </c>
      <c r="R4" s="21"/>
      <c r="S4" s="5"/>
      <c r="T4" s="20" t="s">
        <v>7</v>
      </c>
      <c r="U4" s="21"/>
      <c r="V4" s="5"/>
      <c r="W4" s="20" t="s">
        <v>8</v>
      </c>
      <c r="X4" s="21"/>
      <c r="Y4" s="5"/>
      <c r="Z4" s="20" t="s">
        <v>9</v>
      </c>
      <c r="AA4" s="21"/>
      <c r="AB4" s="5"/>
      <c r="AC4" s="20" t="s">
        <v>10</v>
      </c>
      <c r="AD4" s="21"/>
      <c r="AE4" s="5"/>
      <c r="AF4" s="20" t="s">
        <v>11</v>
      </c>
      <c r="AG4" s="21"/>
      <c r="AH4" s="5"/>
      <c r="AI4" s="20" t="s">
        <v>12</v>
      </c>
      <c r="AJ4" s="21"/>
      <c r="AK4" s="5"/>
      <c r="AL4" s="20" t="s">
        <v>13</v>
      </c>
      <c r="AM4" s="21"/>
      <c r="AN4" s="5"/>
      <c r="AO4" s="20" t="s">
        <v>14</v>
      </c>
      <c r="AP4" s="21"/>
      <c r="AQ4" s="5"/>
      <c r="AR4" s="20" t="s">
        <v>15</v>
      </c>
      <c r="AS4" s="21"/>
      <c r="AT4" s="5"/>
      <c r="AU4" s="20" t="s">
        <v>16</v>
      </c>
      <c r="AV4" s="21"/>
      <c r="AW4" s="5"/>
      <c r="AX4" s="20" t="s">
        <v>17</v>
      </c>
      <c r="AY4" s="21"/>
      <c r="AZ4" s="5"/>
      <c r="BA4" s="20" t="s">
        <v>18</v>
      </c>
      <c r="BB4" s="21"/>
      <c r="BC4" s="5"/>
      <c r="BD4" s="20" t="s">
        <v>19</v>
      </c>
      <c r="BE4" s="21"/>
      <c r="BF4" s="5"/>
      <c r="BG4" s="20" t="s">
        <v>20</v>
      </c>
      <c r="BH4" s="21"/>
      <c r="BI4" s="5"/>
      <c r="BJ4" s="20" t="s">
        <v>21</v>
      </c>
      <c r="BK4" s="21"/>
      <c r="BL4" s="5"/>
      <c r="BM4" s="20" t="s">
        <v>22</v>
      </c>
      <c r="BN4" s="21"/>
      <c r="BO4" s="5"/>
      <c r="BP4" s="20" t="s">
        <v>23</v>
      </c>
      <c r="BQ4" s="21"/>
    </row>
    <row r="5" spans="1:69" ht="48" x14ac:dyDescent="0.2">
      <c r="A5" s="1"/>
      <c r="B5" s="6" t="s">
        <v>24</v>
      </c>
      <c r="C5" s="6" t="s">
        <v>25</v>
      </c>
      <c r="D5" s="6" t="s">
        <v>26</v>
      </c>
      <c r="E5" s="6" t="s">
        <v>27</v>
      </c>
      <c r="F5" s="6" t="s">
        <v>28</v>
      </c>
      <c r="G5" s="6" t="s">
        <v>29</v>
      </c>
      <c r="H5" s="7" t="s">
        <v>30</v>
      </c>
      <c r="I5" s="7" t="s">
        <v>31</v>
      </c>
      <c r="J5" s="7"/>
      <c r="K5" s="7" t="s">
        <v>30</v>
      </c>
      <c r="L5" s="7" t="s">
        <v>31</v>
      </c>
      <c r="M5" s="7"/>
      <c r="N5" s="7" t="s">
        <v>30</v>
      </c>
      <c r="O5" s="7" t="s">
        <v>31</v>
      </c>
      <c r="P5" s="7"/>
      <c r="Q5" s="7" t="s">
        <v>30</v>
      </c>
      <c r="R5" s="7" t="s">
        <v>31</v>
      </c>
      <c r="S5" s="7"/>
      <c r="T5" s="7" t="s">
        <v>30</v>
      </c>
      <c r="U5" s="7" t="s">
        <v>31</v>
      </c>
      <c r="V5" s="7"/>
      <c r="W5" s="7" t="s">
        <v>30</v>
      </c>
      <c r="X5" s="7" t="s">
        <v>31</v>
      </c>
      <c r="Y5" s="7"/>
      <c r="Z5" s="7" t="s">
        <v>30</v>
      </c>
      <c r="AA5" s="7" t="s">
        <v>31</v>
      </c>
      <c r="AB5" s="7"/>
      <c r="AC5" s="7" t="s">
        <v>30</v>
      </c>
      <c r="AD5" s="7" t="s">
        <v>31</v>
      </c>
      <c r="AE5" s="7"/>
      <c r="AF5" s="7" t="s">
        <v>30</v>
      </c>
      <c r="AG5" s="7" t="s">
        <v>31</v>
      </c>
      <c r="AH5" s="7"/>
      <c r="AI5" s="7" t="s">
        <v>30</v>
      </c>
      <c r="AJ5" s="7" t="s">
        <v>31</v>
      </c>
      <c r="AK5" s="7"/>
      <c r="AL5" s="7" t="s">
        <v>30</v>
      </c>
      <c r="AM5" s="7" t="s">
        <v>31</v>
      </c>
      <c r="AN5" s="7"/>
      <c r="AO5" s="7" t="s">
        <v>30</v>
      </c>
      <c r="AP5" s="7" t="s">
        <v>31</v>
      </c>
      <c r="AQ5" s="7"/>
      <c r="AR5" s="7" t="s">
        <v>30</v>
      </c>
      <c r="AS5" s="7" t="s">
        <v>31</v>
      </c>
      <c r="AT5" s="7"/>
      <c r="AU5" s="7" t="s">
        <v>30</v>
      </c>
      <c r="AV5" s="7" t="s">
        <v>31</v>
      </c>
      <c r="AW5" s="7"/>
      <c r="AX5" s="7" t="s">
        <v>30</v>
      </c>
      <c r="AY5" s="7" t="s">
        <v>31</v>
      </c>
      <c r="AZ5" s="7"/>
      <c r="BA5" s="7" t="s">
        <v>30</v>
      </c>
      <c r="BB5" s="7" t="s">
        <v>31</v>
      </c>
      <c r="BC5" s="7"/>
      <c r="BD5" s="7" t="s">
        <v>30</v>
      </c>
      <c r="BE5" s="7" t="s">
        <v>31</v>
      </c>
      <c r="BF5" s="7"/>
      <c r="BG5" s="7" t="s">
        <v>30</v>
      </c>
      <c r="BH5" s="7" t="s">
        <v>31</v>
      </c>
      <c r="BI5" s="7"/>
      <c r="BJ5" s="7" t="s">
        <v>30</v>
      </c>
      <c r="BK5" s="7" t="s">
        <v>31</v>
      </c>
      <c r="BL5" s="7"/>
      <c r="BM5" s="7" t="s">
        <v>30</v>
      </c>
      <c r="BN5" s="7" t="s">
        <v>31</v>
      </c>
      <c r="BO5" s="7"/>
      <c r="BP5" s="7" t="s">
        <v>30</v>
      </c>
      <c r="BQ5" s="7" t="s">
        <v>31</v>
      </c>
    </row>
    <row r="6" spans="1:69" ht="64" x14ac:dyDescent="0.2">
      <c r="A6" s="1"/>
      <c r="B6" s="8" t="s">
        <v>32</v>
      </c>
      <c r="C6" s="9" t="s">
        <v>33</v>
      </c>
      <c r="D6" s="10" t="s">
        <v>34</v>
      </c>
      <c r="E6" s="8" t="s">
        <v>35</v>
      </c>
      <c r="F6" s="11" t="s">
        <v>36</v>
      </c>
      <c r="G6" s="8">
        <v>5</v>
      </c>
      <c r="H6" s="12">
        <v>3</v>
      </c>
      <c r="I6" s="12">
        <f t="shared" ref="I6:I46" si="0">G6-H6</f>
        <v>2</v>
      </c>
      <c r="J6" s="13"/>
      <c r="K6" s="12"/>
      <c r="L6" s="12">
        <f t="shared" ref="L6:L46" si="1">I6-K6</f>
        <v>2</v>
      </c>
      <c r="M6" s="13"/>
      <c r="N6" s="12"/>
      <c r="O6" s="12">
        <f t="shared" ref="O6:O46" si="2">L6-N6</f>
        <v>2</v>
      </c>
      <c r="P6" s="13"/>
      <c r="Q6" s="12"/>
      <c r="R6" s="12">
        <f t="shared" ref="R6:R46" si="3">O6-Q6</f>
        <v>2</v>
      </c>
      <c r="S6" s="13"/>
      <c r="T6" s="12"/>
      <c r="U6" s="12">
        <f t="shared" ref="U6:U46" si="4">R6-T6</f>
        <v>2</v>
      </c>
      <c r="V6" s="13"/>
      <c r="W6" s="12"/>
      <c r="X6" s="12">
        <f t="shared" ref="X6:X46" si="5">U6-W6</f>
        <v>2</v>
      </c>
      <c r="Y6" s="13"/>
      <c r="Z6" s="12"/>
      <c r="AA6" s="12">
        <f t="shared" ref="AA6:AA46" si="6">X6-Z6</f>
        <v>2</v>
      </c>
      <c r="AB6" s="13"/>
      <c r="AC6" s="12"/>
      <c r="AD6" s="12">
        <f t="shared" ref="AD6:AD46" si="7">AA6-AC6</f>
        <v>2</v>
      </c>
      <c r="AE6" s="13"/>
      <c r="AF6" s="12"/>
      <c r="AG6" s="12">
        <f t="shared" ref="AG6:AG46" si="8">AD6-AF6</f>
        <v>2</v>
      </c>
      <c r="AH6" s="13"/>
      <c r="AI6" s="12"/>
      <c r="AJ6" s="12">
        <f t="shared" ref="AJ6:AJ46" si="9">AG6-AI6</f>
        <v>2</v>
      </c>
      <c r="AK6" s="13"/>
      <c r="AL6" s="12"/>
      <c r="AM6" s="12">
        <f t="shared" ref="AM6:AM46" si="10">AJ6-AL6</f>
        <v>2</v>
      </c>
      <c r="AN6" s="13"/>
      <c r="AO6" s="12"/>
      <c r="AP6" s="12">
        <f t="shared" ref="AP6:AP46" si="11">AM6-AO6</f>
        <v>2</v>
      </c>
      <c r="AQ6" s="13"/>
      <c r="AR6" s="12"/>
      <c r="AS6" s="12">
        <f t="shared" ref="AS6:AS46" si="12">AP6-AR6</f>
        <v>2</v>
      </c>
      <c r="AT6" s="13"/>
      <c r="AU6" s="12"/>
      <c r="AV6" s="12">
        <f t="shared" ref="AV6:AV46" si="13">AS6-AU6</f>
        <v>2</v>
      </c>
      <c r="AW6" s="13"/>
      <c r="AX6" s="12"/>
      <c r="AY6" s="12">
        <f t="shared" ref="AY6:AY46" si="14">AV6-AX6</f>
        <v>2</v>
      </c>
      <c r="AZ6" s="13"/>
      <c r="BA6" s="12"/>
      <c r="BB6" s="12">
        <f t="shared" ref="BB6:BB46" si="15">AY6-BA6</f>
        <v>2</v>
      </c>
      <c r="BC6" s="13"/>
      <c r="BD6" s="12"/>
      <c r="BE6" s="12">
        <f t="shared" ref="BE6:BE46" si="16">BB6-BD6</f>
        <v>2</v>
      </c>
      <c r="BF6" s="13"/>
      <c r="BG6" s="12"/>
      <c r="BH6" s="12">
        <f t="shared" ref="BH6:BH46" si="17">BE6-BG6</f>
        <v>2</v>
      </c>
      <c r="BI6" s="13"/>
      <c r="BJ6" s="12"/>
      <c r="BK6" s="12">
        <f t="shared" ref="BK6:BK46" si="18">BH6-BJ6</f>
        <v>2</v>
      </c>
      <c r="BL6" s="13"/>
      <c r="BM6" s="12"/>
      <c r="BN6" s="12">
        <f t="shared" ref="BN6:BN46" si="19">BK6-BM6</f>
        <v>2</v>
      </c>
      <c r="BO6" s="13"/>
      <c r="BP6" s="14">
        <f t="shared" ref="BP6:BP46" si="20">H6+K6+N6+Q6+T6+W6+Z6+AC6+AF6+AI6+AL6+AO6+AR6+AU6+AX6+BA6+BD6+BG6+BJ6+BM6</f>
        <v>3</v>
      </c>
      <c r="BQ6" s="14">
        <f t="shared" ref="BQ6:BQ46" si="21">G6-BP6</f>
        <v>2</v>
      </c>
    </row>
    <row r="7" spans="1:69" ht="48" x14ac:dyDescent="0.2">
      <c r="A7" s="1"/>
      <c r="B7" s="8"/>
      <c r="C7" s="8"/>
      <c r="D7" s="10" t="s">
        <v>37</v>
      </c>
      <c r="E7" s="8" t="s">
        <v>35</v>
      </c>
      <c r="F7" s="11" t="s">
        <v>36</v>
      </c>
      <c r="G7" s="8">
        <v>2</v>
      </c>
      <c r="H7" s="12">
        <v>3</v>
      </c>
      <c r="I7" s="12">
        <f t="shared" si="0"/>
        <v>-1</v>
      </c>
      <c r="J7" s="13"/>
      <c r="K7" s="12"/>
      <c r="L7" s="12">
        <f t="shared" si="1"/>
        <v>-1</v>
      </c>
      <c r="M7" s="13"/>
      <c r="N7" s="12"/>
      <c r="O7" s="12">
        <f t="shared" si="2"/>
        <v>-1</v>
      </c>
      <c r="P7" s="13"/>
      <c r="Q7" s="12"/>
      <c r="R7" s="12">
        <f t="shared" si="3"/>
        <v>-1</v>
      </c>
      <c r="S7" s="13"/>
      <c r="T7" s="12"/>
      <c r="U7" s="12">
        <f t="shared" si="4"/>
        <v>-1</v>
      </c>
      <c r="V7" s="13"/>
      <c r="W7" s="12"/>
      <c r="X7" s="12">
        <f t="shared" si="5"/>
        <v>-1</v>
      </c>
      <c r="Y7" s="13"/>
      <c r="Z7" s="12"/>
      <c r="AA7" s="12">
        <f t="shared" si="6"/>
        <v>-1</v>
      </c>
      <c r="AB7" s="13"/>
      <c r="AC7" s="12"/>
      <c r="AD7" s="12">
        <f t="shared" si="7"/>
        <v>-1</v>
      </c>
      <c r="AE7" s="13"/>
      <c r="AF7" s="12"/>
      <c r="AG7" s="12">
        <f t="shared" si="8"/>
        <v>-1</v>
      </c>
      <c r="AH7" s="13"/>
      <c r="AI7" s="12"/>
      <c r="AJ7" s="12">
        <f t="shared" si="9"/>
        <v>-1</v>
      </c>
      <c r="AK7" s="13"/>
      <c r="AL7" s="12"/>
      <c r="AM7" s="12">
        <f t="shared" si="10"/>
        <v>-1</v>
      </c>
      <c r="AN7" s="13"/>
      <c r="AO7" s="12"/>
      <c r="AP7" s="12">
        <f t="shared" si="11"/>
        <v>-1</v>
      </c>
      <c r="AQ7" s="13"/>
      <c r="AR7" s="12"/>
      <c r="AS7" s="12">
        <f t="shared" si="12"/>
        <v>-1</v>
      </c>
      <c r="AT7" s="13"/>
      <c r="AU7" s="12"/>
      <c r="AV7" s="12">
        <f t="shared" si="13"/>
        <v>-1</v>
      </c>
      <c r="AW7" s="13"/>
      <c r="AX7" s="12"/>
      <c r="AY7" s="12">
        <f t="shared" si="14"/>
        <v>-1</v>
      </c>
      <c r="AZ7" s="13"/>
      <c r="BA7" s="12"/>
      <c r="BB7" s="12">
        <f t="shared" si="15"/>
        <v>-1</v>
      </c>
      <c r="BC7" s="13"/>
      <c r="BD7" s="12"/>
      <c r="BE7" s="12">
        <f t="shared" si="16"/>
        <v>-1</v>
      </c>
      <c r="BF7" s="13"/>
      <c r="BG7" s="12"/>
      <c r="BH7" s="12">
        <f t="shared" si="17"/>
        <v>-1</v>
      </c>
      <c r="BI7" s="13"/>
      <c r="BJ7" s="12"/>
      <c r="BK7" s="12">
        <f t="shared" si="18"/>
        <v>-1</v>
      </c>
      <c r="BL7" s="13"/>
      <c r="BM7" s="12"/>
      <c r="BN7" s="12">
        <f t="shared" si="19"/>
        <v>-1</v>
      </c>
      <c r="BO7" s="13"/>
      <c r="BP7" s="14">
        <f t="shared" si="20"/>
        <v>3</v>
      </c>
      <c r="BQ7" s="14">
        <f t="shared" si="21"/>
        <v>-1</v>
      </c>
    </row>
    <row r="8" spans="1:69" ht="48" x14ac:dyDescent="0.2">
      <c r="A8" s="1"/>
      <c r="B8" s="8"/>
      <c r="C8" s="8"/>
      <c r="D8" s="10" t="s">
        <v>38</v>
      </c>
      <c r="E8" s="8" t="s">
        <v>35</v>
      </c>
      <c r="F8" s="11" t="s">
        <v>36</v>
      </c>
      <c r="G8" s="8">
        <v>3</v>
      </c>
      <c r="H8" s="12">
        <v>3</v>
      </c>
      <c r="I8" s="12">
        <f t="shared" si="0"/>
        <v>0</v>
      </c>
      <c r="J8" s="13"/>
      <c r="K8" s="12"/>
      <c r="L8" s="12">
        <f t="shared" si="1"/>
        <v>0</v>
      </c>
      <c r="M8" s="13"/>
      <c r="N8" s="12"/>
      <c r="O8" s="12">
        <f t="shared" si="2"/>
        <v>0</v>
      </c>
      <c r="P8" s="13"/>
      <c r="Q8" s="12"/>
      <c r="R8" s="12">
        <f t="shared" si="3"/>
        <v>0</v>
      </c>
      <c r="S8" s="13"/>
      <c r="T8" s="12"/>
      <c r="U8" s="12">
        <f t="shared" si="4"/>
        <v>0</v>
      </c>
      <c r="V8" s="13"/>
      <c r="W8" s="12"/>
      <c r="X8" s="12">
        <f t="shared" si="5"/>
        <v>0</v>
      </c>
      <c r="Y8" s="13"/>
      <c r="Z8" s="12"/>
      <c r="AA8" s="12">
        <f t="shared" si="6"/>
        <v>0</v>
      </c>
      <c r="AB8" s="13"/>
      <c r="AC8" s="12"/>
      <c r="AD8" s="12">
        <f t="shared" si="7"/>
        <v>0</v>
      </c>
      <c r="AE8" s="13"/>
      <c r="AF8" s="12"/>
      <c r="AG8" s="12">
        <f t="shared" si="8"/>
        <v>0</v>
      </c>
      <c r="AH8" s="13"/>
      <c r="AI8" s="12"/>
      <c r="AJ8" s="12">
        <f t="shared" si="9"/>
        <v>0</v>
      </c>
      <c r="AK8" s="13"/>
      <c r="AL8" s="12"/>
      <c r="AM8" s="12">
        <f t="shared" si="10"/>
        <v>0</v>
      </c>
      <c r="AN8" s="13"/>
      <c r="AO8" s="12"/>
      <c r="AP8" s="12">
        <f t="shared" si="11"/>
        <v>0</v>
      </c>
      <c r="AQ8" s="13"/>
      <c r="AR8" s="12"/>
      <c r="AS8" s="12">
        <f t="shared" si="12"/>
        <v>0</v>
      </c>
      <c r="AT8" s="13"/>
      <c r="AU8" s="12"/>
      <c r="AV8" s="12">
        <f t="shared" si="13"/>
        <v>0</v>
      </c>
      <c r="AW8" s="13"/>
      <c r="AX8" s="12"/>
      <c r="AY8" s="12">
        <f t="shared" si="14"/>
        <v>0</v>
      </c>
      <c r="AZ8" s="13"/>
      <c r="BA8" s="12"/>
      <c r="BB8" s="12">
        <f t="shared" si="15"/>
        <v>0</v>
      </c>
      <c r="BC8" s="13"/>
      <c r="BD8" s="12"/>
      <c r="BE8" s="12">
        <f t="shared" si="16"/>
        <v>0</v>
      </c>
      <c r="BF8" s="13"/>
      <c r="BG8" s="12"/>
      <c r="BH8" s="12">
        <f t="shared" si="17"/>
        <v>0</v>
      </c>
      <c r="BI8" s="13"/>
      <c r="BJ8" s="12"/>
      <c r="BK8" s="12">
        <f t="shared" si="18"/>
        <v>0</v>
      </c>
      <c r="BL8" s="13"/>
      <c r="BM8" s="12"/>
      <c r="BN8" s="12">
        <f t="shared" si="19"/>
        <v>0</v>
      </c>
      <c r="BO8" s="13"/>
      <c r="BP8" s="14">
        <f t="shared" si="20"/>
        <v>3</v>
      </c>
      <c r="BQ8" s="14">
        <f t="shared" si="21"/>
        <v>0</v>
      </c>
    </row>
    <row r="9" spans="1:69" ht="32" x14ac:dyDescent="0.2">
      <c r="A9" s="1"/>
      <c r="B9" s="8"/>
      <c r="C9" s="8"/>
      <c r="D9" s="10" t="s">
        <v>39</v>
      </c>
      <c r="E9" s="8" t="s">
        <v>35</v>
      </c>
      <c r="F9" s="15" t="s">
        <v>40</v>
      </c>
      <c r="G9" s="8">
        <v>8</v>
      </c>
      <c r="H9" s="12">
        <v>0</v>
      </c>
      <c r="I9" s="12">
        <f t="shared" si="0"/>
        <v>8</v>
      </c>
      <c r="J9" s="13"/>
      <c r="K9" s="12">
        <v>0</v>
      </c>
      <c r="L9" s="12">
        <f t="shared" si="1"/>
        <v>8</v>
      </c>
      <c r="M9" s="13"/>
      <c r="N9" s="12"/>
      <c r="O9" s="12">
        <f t="shared" si="2"/>
        <v>8</v>
      </c>
      <c r="P9" s="13"/>
      <c r="Q9" s="12"/>
      <c r="R9" s="12">
        <f t="shared" si="3"/>
        <v>8</v>
      </c>
      <c r="S9" s="13"/>
      <c r="T9" s="12"/>
      <c r="U9" s="12">
        <f t="shared" si="4"/>
        <v>8</v>
      </c>
      <c r="V9" s="13"/>
      <c r="W9" s="12"/>
      <c r="X9" s="12">
        <f t="shared" si="5"/>
        <v>8</v>
      </c>
      <c r="Y9" s="13"/>
      <c r="Z9" s="12"/>
      <c r="AA9" s="12">
        <f t="shared" si="6"/>
        <v>8</v>
      </c>
      <c r="AB9" s="13"/>
      <c r="AC9" s="12"/>
      <c r="AD9" s="12">
        <f t="shared" si="7"/>
        <v>8</v>
      </c>
      <c r="AE9" s="13"/>
      <c r="AF9" s="12"/>
      <c r="AG9" s="12">
        <f t="shared" si="8"/>
        <v>8</v>
      </c>
      <c r="AH9" s="13"/>
      <c r="AI9" s="12"/>
      <c r="AJ9" s="12">
        <f t="shared" si="9"/>
        <v>8</v>
      </c>
      <c r="AK9" s="13"/>
      <c r="AL9" s="12"/>
      <c r="AM9" s="12">
        <f t="shared" si="10"/>
        <v>8</v>
      </c>
      <c r="AN9" s="13"/>
      <c r="AO9" s="12"/>
      <c r="AP9" s="12">
        <f t="shared" si="11"/>
        <v>8</v>
      </c>
      <c r="AQ9" s="13"/>
      <c r="AR9" s="12"/>
      <c r="AS9" s="12">
        <f t="shared" si="12"/>
        <v>8</v>
      </c>
      <c r="AT9" s="13"/>
      <c r="AU9" s="12"/>
      <c r="AV9" s="12">
        <f t="shared" si="13"/>
        <v>8</v>
      </c>
      <c r="AW9" s="13"/>
      <c r="AX9" s="12"/>
      <c r="AY9" s="12">
        <f t="shared" si="14"/>
        <v>8</v>
      </c>
      <c r="AZ9" s="13"/>
      <c r="BA9" s="12"/>
      <c r="BB9" s="12">
        <f t="shared" si="15"/>
        <v>8</v>
      </c>
      <c r="BC9" s="13"/>
      <c r="BD9" s="12"/>
      <c r="BE9" s="12">
        <f t="shared" si="16"/>
        <v>8</v>
      </c>
      <c r="BF9" s="13"/>
      <c r="BG9" s="12"/>
      <c r="BH9" s="12">
        <f t="shared" si="17"/>
        <v>8</v>
      </c>
      <c r="BI9" s="13"/>
      <c r="BJ9" s="12"/>
      <c r="BK9" s="12">
        <f t="shared" si="18"/>
        <v>8</v>
      </c>
      <c r="BL9" s="13"/>
      <c r="BM9" s="12"/>
      <c r="BN9" s="12">
        <f t="shared" si="19"/>
        <v>8</v>
      </c>
      <c r="BO9" s="13"/>
      <c r="BP9" s="14">
        <f t="shared" si="20"/>
        <v>0</v>
      </c>
      <c r="BQ9" s="14">
        <f t="shared" si="21"/>
        <v>8</v>
      </c>
    </row>
    <row r="10" spans="1:69" ht="80" x14ac:dyDescent="0.2">
      <c r="A10" s="1"/>
      <c r="B10" s="8" t="s">
        <v>41</v>
      </c>
      <c r="C10" s="9" t="s">
        <v>42</v>
      </c>
      <c r="D10" s="10" t="s">
        <v>43</v>
      </c>
      <c r="E10" s="8" t="s">
        <v>35</v>
      </c>
      <c r="F10" s="11" t="s">
        <v>36</v>
      </c>
      <c r="G10" s="8">
        <v>5</v>
      </c>
      <c r="H10" s="12">
        <v>3</v>
      </c>
      <c r="I10" s="12">
        <f t="shared" si="0"/>
        <v>2</v>
      </c>
      <c r="J10" s="13"/>
      <c r="K10" s="12"/>
      <c r="L10" s="12">
        <f t="shared" si="1"/>
        <v>2</v>
      </c>
      <c r="M10" s="13"/>
      <c r="N10" s="12"/>
      <c r="O10" s="12">
        <f t="shared" si="2"/>
        <v>2</v>
      </c>
      <c r="P10" s="13"/>
      <c r="Q10" s="12"/>
      <c r="R10" s="12">
        <f t="shared" si="3"/>
        <v>2</v>
      </c>
      <c r="S10" s="13"/>
      <c r="T10" s="12"/>
      <c r="U10" s="12">
        <f t="shared" si="4"/>
        <v>2</v>
      </c>
      <c r="V10" s="13"/>
      <c r="W10" s="12"/>
      <c r="X10" s="12">
        <f t="shared" si="5"/>
        <v>2</v>
      </c>
      <c r="Y10" s="13"/>
      <c r="Z10" s="12"/>
      <c r="AA10" s="12">
        <f t="shared" si="6"/>
        <v>2</v>
      </c>
      <c r="AB10" s="13"/>
      <c r="AC10" s="12"/>
      <c r="AD10" s="12">
        <f t="shared" si="7"/>
        <v>2</v>
      </c>
      <c r="AE10" s="13"/>
      <c r="AF10" s="12"/>
      <c r="AG10" s="12">
        <f t="shared" si="8"/>
        <v>2</v>
      </c>
      <c r="AH10" s="13"/>
      <c r="AI10" s="12"/>
      <c r="AJ10" s="12">
        <f t="shared" si="9"/>
        <v>2</v>
      </c>
      <c r="AK10" s="13"/>
      <c r="AL10" s="12"/>
      <c r="AM10" s="12">
        <f t="shared" si="10"/>
        <v>2</v>
      </c>
      <c r="AN10" s="13"/>
      <c r="AO10" s="12"/>
      <c r="AP10" s="12">
        <f t="shared" si="11"/>
        <v>2</v>
      </c>
      <c r="AQ10" s="13"/>
      <c r="AR10" s="12"/>
      <c r="AS10" s="12">
        <f t="shared" si="12"/>
        <v>2</v>
      </c>
      <c r="AT10" s="13"/>
      <c r="AU10" s="12"/>
      <c r="AV10" s="12">
        <f t="shared" si="13"/>
        <v>2</v>
      </c>
      <c r="AW10" s="13"/>
      <c r="AX10" s="12"/>
      <c r="AY10" s="12">
        <f t="shared" si="14"/>
        <v>2</v>
      </c>
      <c r="AZ10" s="13"/>
      <c r="BA10" s="12"/>
      <c r="BB10" s="12">
        <f t="shared" si="15"/>
        <v>2</v>
      </c>
      <c r="BC10" s="13"/>
      <c r="BD10" s="12"/>
      <c r="BE10" s="12">
        <f t="shared" si="16"/>
        <v>2</v>
      </c>
      <c r="BF10" s="13"/>
      <c r="BG10" s="12"/>
      <c r="BH10" s="12">
        <f t="shared" si="17"/>
        <v>2</v>
      </c>
      <c r="BI10" s="13"/>
      <c r="BJ10" s="12"/>
      <c r="BK10" s="12">
        <f t="shared" si="18"/>
        <v>2</v>
      </c>
      <c r="BL10" s="13"/>
      <c r="BM10" s="12"/>
      <c r="BN10" s="12">
        <f t="shared" si="19"/>
        <v>2</v>
      </c>
      <c r="BO10" s="13"/>
      <c r="BP10" s="14">
        <f t="shared" si="20"/>
        <v>3</v>
      </c>
      <c r="BQ10" s="14">
        <f t="shared" si="21"/>
        <v>2</v>
      </c>
    </row>
    <row r="11" spans="1:69" ht="48" x14ac:dyDescent="0.2">
      <c r="A11" s="1"/>
      <c r="B11" s="8"/>
      <c r="C11" s="8"/>
      <c r="D11" s="10" t="s">
        <v>44</v>
      </c>
      <c r="E11" s="8" t="s">
        <v>35</v>
      </c>
      <c r="F11" s="11" t="s">
        <v>36</v>
      </c>
      <c r="G11" s="8">
        <v>5</v>
      </c>
      <c r="H11" s="12">
        <v>3</v>
      </c>
      <c r="I11" s="12">
        <f t="shared" si="0"/>
        <v>2</v>
      </c>
      <c r="J11" s="13"/>
      <c r="K11" s="12"/>
      <c r="L11" s="12">
        <f t="shared" si="1"/>
        <v>2</v>
      </c>
      <c r="M11" s="13"/>
      <c r="N11" s="12"/>
      <c r="O11" s="12">
        <f t="shared" si="2"/>
        <v>2</v>
      </c>
      <c r="P11" s="13"/>
      <c r="Q11" s="12"/>
      <c r="R11" s="12">
        <f t="shared" si="3"/>
        <v>2</v>
      </c>
      <c r="S11" s="13"/>
      <c r="T11" s="12"/>
      <c r="U11" s="12">
        <f t="shared" si="4"/>
        <v>2</v>
      </c>
      <c r="V11" s="13"/>
      <c r="W11" s="12"/>
      <c r="X11" s="12">
        <f t="shared" si="5"/>
        <v>2</v>
      </c>
      <c r="Y11" s="13"/>
      <c r="Z11" s="12"/>
      <c r="AA11" s="12">
        <f t="shared" si="6"/>
        <v>2</v>
      </c>
      <c r="AB11" s="13"/>
      <c r="AC11" s="12"/>
      <c r="AD11" s="12">
        <f t="shared" si="7"/>
        <v>2</v>
      </c>
      <c r="AE11" s="13"/>
      <c r="AF11" s="12"/>
      <c r="AG11" s="12">
        <f t="shared" si="8"/>
        <v>2</v>
      </c>
      <c r="AH11" s="13"/>
      <c r="AI11" s="12"/>
      <c r="AJ11" s="12">
        <f t="shared" si="9"/>
        <v>2</v>
      </c>
      <c r="AK11" s="13"/>
      <c r="AL11" s="12"/>
      <c r="AM11" s="12">
        <f t="shared" si="10"/>
        <v>2</v>
      </c>
      <c r="AN11" s="13"/>
      <c r="AO11" s="12"/>
      <c r="AP11" s="12">
        <f t="shared" si="11"/>
        <v>2</v>
      </c>
      <c r="AQ11" s="13"/>
      <c r="AR11" s="12"/>
      <c r="AS11" s="12">
        <f t="shared" si="12"/>
        <v>2</v>
      </c>
      <c r="AT11" s="13"/>
      <c r="AU11" s="12"/>
      <c r="AV11" s="12">
        <f t="shared" si="13"/>
        <v>2</v>
      </c>
      <c r="AW11" s="13"/>
      <c r="AX11" s="12"/>
      <c r="AY11" s="12">
        <f t="shared" si="14"/>
        <v>2</v>
      </c>
      <c r="AZ11" s="13"/>
      <c r="BA11" s="12"/>
      <c r="BB11" s="12">
        <f t="shared" si="15"/>
        <v>2</v>
      </c>
      <c r="BC11" s="13"/>
      <c r="BD11" s="12"/>
      <c r="BE11" s="12">
        <f t="shared" si="16"/>
        <v>2</v>
      </c>
      <c r="BF11" s="13"/>
      <c r="BG11" s="12"/>
      <c r="BH11" s="12">
        <f t="shared" si="17"/>
        <v>2</v>
      </c>
      <c r="BI11" s="13"/>
      <c r="BJ11" s="12"/>
      <c r="BK11" s="12">
        <f t="shared" si="18"/>
        <v>2</v>
      </c>
      <c r="BL11" s="13"/>
      <c r="BM11" s="12"/>
      <c r="BN11" s="12">
        <f t="shared" si="19"/>
        <v>2</v>
      </c>
      <c r="BO11" s="13"/>
      <c r="BP11" s="14">
        <f t="shared" si="20"/>
        <v>3</v>
      </c>
      <c r="BQ11" s="14">
        <f t="shared" si="21"/>
        <v>2</v>
      </c>
    </row>
    <row r="12" spans="1:69" ht="48" x14ac:dyDescent="0.2">
      <c r="A12" s="1"/>
      <c r="B12" s="8"/>
      <c r="C12" s="8"/>
      <c r="D12" s="10" t="s">
        <v>45</v>
      </c>
      <c r="E12" s="8" t="s">
        <v>35</v>
      </c>
      <c r="F12" s="11" t="s">
        <v>36</v>
      </c>
      <c r="G12" s="8">
        <v>3</v>
      </c>
      <c r="H12" s="12">
        <v>3</v>
      </c>
      <c r="I12" s="12">
        <f t="shared" si="0"/>
        <v>0</v>
      </c>
      <c r="J12" s="13"/>
      <c r="K12" s="12"/>
      <c r="L12" s="12">
        <f t="shared" si="1"/>
        <v>0</v>
      </c>
      <c r="M12" s="13"/>
      <c r="N12" s="12"/>
      <c r="O12" s="12">
        <f t="shared" si="2"/>
        <v>0</v>
      </c>
      <c r="P12" s="13"/>
      <c r="Q12" s="12"/>
      <c r="R12" s="12">
        <f t="shared" si="3"/>
        <v>0</v>
      </c>
      <c r="S12" s="13"/>
      <c r="T12" s="12"/>
      <c r="U12" s="12">
        <f t="shared" si="4"/>
        <v>0</v>
      </c>
      <c r="V12" s="13"/>
      <c r="W12" s="12"/>
      <c r="X12" s="12">
        <f t="shared" si="5"/>
        <v>0</v>
      </c>
      <c r="Y12" s="13"/>
      <c r="Z12" s="12"/>
      <c r="AA12" s="12">
        <f t="shared" si="6"/>
        <v>0</v>
      </c>
      <c r="AB12" s="13"/>
      <c r="AC12" s="12"/>
      <c r="AD12" s="12">
        <f t="shared" si="7"/>
        <v>0</v>
      </c>
      <c r="AE12" s="13"/>
      <c r="AF12" s="12"/>
      <c r="AG12" s="12">
        <f t="shared" si="8"/>
        <v>0</v>
      </c>
      <c r="AH12" s="13"/>
      <c r="AI12" s="12"/>
      <c r="AJ12" s="12">
        <f t="shared" si="9"/>
        <v>0</v>
      </c>
      <c r="AK12" s="13"/>
      <c r="AL12" s="12"/>
      <c r="AM12" s="12">
        <f t="shared" si="10"/>
        <v>0</v>
      </c>
      <c r="AN12" s="13"/>
      <c r="AO12" s="12"/>
      <c r="AP12" s="12">
        <f t="shared" si="11"/>
        <v>0</v>
      </c>
      <c r="AQ12" s="13"/>
      <c r="AR12" s="12"/>
      <c r="AS12" s="12">
        <f t="shared" si="12"/>
        <v>0</v>
      </c>
      <c r="AT12" s="13"/>
      <c r="AU12" s="12"/>
      <c r="AV12" s="12">
        <f t="shared" si="13"/>
        <v>0</v>
      </c>
      <c r="AW12" s="13"/>
      <c r="AX12" s="12"/>
      <c r="AY12" s="12">
        <f t="shared" si="14"/>
        <v>0</v>
      </c>
      <c r="AZ12" s="13"/>
      <c r="BA12" s="12"/>
      <c r="BB12" s="12">
        <f t="shared" si="15"/>
        <v>0</v>
      </c>
      <c r="BC12" s="13"/>
      <c r="BD12" s="12"/>
      <c r="BE12" s="12">
        <f t="shared" si="16"/>
        <v>0</v>
      </c>
      <c r="BF12" s="13"/>
      <c r="BG12" s="12"/>
      <c r="BH12" s="12">
        <f t="shared" si="17"/>
        <v>0</v>
      </c>
      <c r="BI12" s="13"/>
      <c r="BJ12" s="12"/>
      <c r="BK12" s="12">
        <f t="shared" si="18"/>
        <v>0</v>
      </c>
      <c r="BL12" s="13"/>
      <c r="BM12" s="12"/>
      <c r="BN12" s="12">
        <f t="shared" si="19"/>
        <v>0</v>
      </c>
      <c r="BO12" s="13"/>
      <c r="BP12" s="14">
        <f t="shared" si="20"/>
        <v>3</v>
      </c>
      <c r="BQ12" s="14">
        <f t="shared" si="21"/>
        <v>0</v>
      </c>
    </row>
    <row r="13" spans="1:69" ht="32" x14ac:dyDescent="0.2">
      <c r="A13" s="1"/>
      <c r="B13" s="8"/>
      <c r="C13" s="8"/>
      <c r="D13" s="10" t="s">
        <v>46</v>
      </c>
      <c r="E13" s="8" t="s">
        <v>35</v>
      </c>
      <c r="F13" s="11" t="s">
        <v>36</v>
      </c>
      <c r="G13" s="8">
        <v>1</v>
      </c>
      <c r="H13" s="12">
        <v>3</v>
      </c>
      <c r="I13" s="12">
        <f t="shared" si="0"/>
        <v>-2</v>
      </c>
      <c r="J13" s="13"/>
      <c r="K13" s="12"/>
      <c r="L13" s="12">
        <f t="shared" si="1"/>
        <v>-2</v>
      </c>
      <c r="M13" s="13"/>
      <c r="N13" s="12"/>
      <c r="O13" s="12">
        <f t="shared" si="2"/>
        <v>-2</v>
      </c>
      <c r="P13" s="13"/>
      <c r="Q13" s="12"/>
      <c r="R13" s="12">
        <f t="shared" si="3"/>
        <v>-2</v>
      </c>
      <c r="S13" s="13"/>
      <c r="T13" s="12"/>
      <c r="U13" s="12">
        <f t="shared" si="4"/>
        <v>-2</v>
      </c>
      <c r="V13" s="13"/>
      <c r="W13" s="12"/>
      <c r="X13" s="12">
        <f t="shared" si="5"/>
        <v>-2</v>
      </c>
      <c r="Y13" s="13"/>
      <c r="Z13" s="12"/>
      <c r="AA13" s="12">
        <f t="shared" si="6"/>
        <v>-2</v>
      </c>
      <c r="AB13" s="13"/>
      <c r="AC13" s="12"/>
      <c r="AD13" s="12">
        <f t="shared" si="7"/>
        <v>-2</v>
      </c>
      <c r="AE13" s="13"/>
      <c r="AF13" s="12"/>
      <c r="AG13" s="12">
        <f t="shared" si="8"/>
        <v>-2</v>
      </c>
      <c r="AH13" s="13"/>
      <c r="AI13" s="12"/>
      <c r="AJ13" s="12">
        <f t="shared" si="9"/>
        <v>-2</v>
      </c>
      <c r="AK13" s="13"/>
      <c r="AL13" s="12"/>
      <c r="AM13" s="12">
        <f t="shared" si="10"/>
        <v>-2</v>
      </c>
      <c r="AN13" s="13"/>
      <c r="AO13" s="12"/>
      <c r="AP13" s="12">
        <f t="shared" si="11"/>
        <v>-2</v>
      </c>
      <c r="AQ13" s="13"/>
      <c r="AR13" s="12"/>
      <c r="AS13" s="12">
        <f t="shared" si="12"/>
        <v>-2</v>
      </c>
      <c r="AT13" s="13"/>
      <c r="AU13" s="12"/>
      <c r="AV13" s="12">
        <f t="shared" si="13"/>
        <v>-2</v>
      </c>
      <c r="AW13" s="13"/>
      <c r="AX13" s="12"/>
      <c r="AY13" s="12">
        <f t="shared" si="14"/>
        <v>-2</v>
      </c>
      <c r="AZ13" s="13"/>
      <c r="BA13" s="12"/>
      <c r="BB13" s="12">
        <f t="shared" si="15"/>
        <v>-2</v>
      </c>
      <c r="BC13" s="13"/>
      <c r="BD13" s="12"/>
      <c r="BE13" s="12">
        <f t="shared" si="16"/>
        <v>-2</v>
      </c>
      <c r="BF13" s="13"/>
      <c r="BG13" s="12"/>
      <c r="BH13" s="12">
        <f t="shared" si="17"/>
        <v>-2</v>
      </c>
      <c r="BI13" s="13"/>
      <c r="BJ13" s="12"/>
      <c r="BK13" s="12">
        <f t="shared" si="18"/>
        <v>-2</v>
      </c>
      <c r="BL13" s="13"/>
      <c r="BM13" s="12"/>
      <c r="BN13" s="12">
        <f t="shared" si="19"/>
        <v>-2</v>
      </c>
      <c r="BO13" s="13"/>
      <c r="BP13" s="14">
        <f t="shared" si="20"/>
        <v>3</v>
      </c>
      <c r="BQ13" s="14">
        <f t="shared" si="21"/>
        <v>-2</v>
      </c>
    </row>
    <row r="14" spans="1:69" ht="64" x14ac:dyDescent="0.2">
      <c r="A14" s="1"/>
      <c r="B14" s="8" t="s">
        <v>47</v>
      </c>
      <c r="C14" s="9" t="s">
        <v>48</v>
      </c>
      <c r="D14" s="10" t="s">
        <v>49</v>
      </c>
      <c r="E14" s="8" t="s">
        <v>35</v>
      </c>
      <c r="F14" s="11" t="s">
        <v>36</v>
      </c>
      <c r="G14" s="8">
        <v>2</v>
      </c>
      <c r="H14" s="12">
        <v>3</v>
      </c>
      <c r="I14" s="12">
        <f t="shared" si="0"/>
        <v>-1</v>
      </c>
      <c r="J14" s="13"/>
      <c r="K14" s="12"/>
      <c r="L14" s="12">
        <f t="shared" si="1"/>
        <v>-1</v>
      </c>
      <c r="M14" s="13"/>
      <c r="N14" s="12"/>
      <c r="O14" s="12">
        <f t="shared" si="2"/>
        <v>-1</v>
      </c>
      <c r="P14" s="13"/>
      <c r="Q14" s="12"/>
      <c r="R14" s="12">
        <f t="shared" si="3"/>
        <v>-1</v>
      </c>
      <c r="S14" s="13"/>
      <c r="T14" s="12"/>
      <c r="U14" s="12">
        <f t="shared" si="4"/>
        <v>-1</v>
      </c>
      <c r="V14" s="13"/>
      <c r="W14" s="12"/>
      <c r="X14" s="12">
        <f t="shared" si="5"/>
        <v>-1</v>
      </c>
      <c r="Y14" s="13"/>
      <c r="Z14" s="12"/>
      <c r="AA14" s="12">
        <f t="shared" si="6"/>
        <v>-1</v>
      </c>
      <c r="AB14" s="13"/>
      <c r="AC14" s="12"/>
      <c r="AD14" s="12">
        <f t="shared" si="7"/>
        <v>-1</v>
      </c>
      <c r="AE14" s="13"/>
      <c r="AF14" s="12"/>
      <c r="AG14" s="12">
        <f t="shared" si="8"/>
        <v>-1</v>
      </c>
      <c r="AH14" s="13"/>
      <c r="AI14" s="12"/>
      <c r="AJ14" s="12">
        <f t="shared" si="9"/>
        <v>-1</v>
      </c>
      <c r="AK14" s="13"/>
      <c r="AL14" s="12"/>
      <c r="AM14" s="12">
        <f t="shared" si="10"/>
        <v>-1</v>
      </c>
      <c r="AN14" s="13"/>
      <c r="AO14" s="12"/>
      <c r="AP14" s="12">
        <f t="shared" si="11"/>
        <v>-1</v>
      </c>
      <c r="AQ14" s="13"/>
      <c r="AR14" s="12"/>
      <c r="AS14" s="12">
        <f t="shared" si="12"/>
        <v>-1</v>
      </c>
      <c r="AT14" s="13"/>
      <c r="AU14" s="12"/>
      <c r="AV14" s="12">
        <f t="shared" si="13"/>
        <v>-1</v>
      </c>
      <c r="AW14" s="13"/>
      <c r="AX14" s="12"/>
      <c r="AY14" s="12">
        <f t="shared" si="14"/>
        <v>-1</v>
      </c>
      <c r="AZ14" s="13"/>
      <c r="BA14" s="12"/>
      <c r="BB14" s="12">
        <f t="shared" si="15"/>
        <v>-1</v>
      </c>
      <c r="BC14" s="13"/>
      <c r="BD14" s="12"/>
      <c r="BE14" s="12">
        <f t="shared" si="16"/>
        <v>-1</v>
      </c>
      <c r="BF14" s="13"/>
      <c r="BG14" s="12"/>
      <c r="BH14" s="12">
        <f t="shared" si="17"/>
        <v>-1</v>
      </c>
      <c r="BI14" s="13"/>
      <c r="BJ14" s="12"/>
      <c r="BK14" s="12">
        <f t="shared" si="18"/>
        <v>-1</v>
      </c>
      <c r="BL14" s="13"/>
      <c r="BM14" s="12"/>
      <c r="BN14" s="12">
        <f t="shared" si="19"/>
        <v>-1</v>
      </c>
      <c r="BO14" s="13"/>
      <c r="BP14" s="14">
        <f t="shared" si="20"/>
        <v>3</v>
      </c>
      <c r="BQ14" s="14">
        <f t="shared" si="21"/>
        <v>-1</v>
      </c>
    </row>
    <row r="15" spans="1:69" ht="48" x14ac:dyDescent="0.2">
      <c r="A15" s="1"/>
      <c r="B15" s="8"/>
      <c r="C15" s="8"/>
      <c r="D15" s="10" t="s">
        <v>50</v>
      </c>
      <c r="E15" s="8" t="s">
        <v>35</v>
      </c>
      <c r="F15" s="15" t="s">
        <v>40</v>
      </c>
      <c r="G15" s="8">
        <v>4</v>
      </c>
      <c r="H15" s="12">
        <v>0</v>
      </c>
      <c r="I15" s="12">
        <f t="shared" si="0"/>
        <v>4</v>
      </c>
      <c r="J15" s="13"/>
      <c r="K15" s="12"/>
      <c r="L15" s="12">
        <f t="shared" si="1"/>
        <v>4</v>
      </c>
      <c r="M15" s="13"/>
      <c r="N15" s="12"/>
      <c r="O15" s="12">
        <f t="shared" si="2"/>
        <v>4</v>
      </c>
      <c r="P15" s="13"/>
      <c r="Q15" s="12"/>
      <c r="R15" s="12">
        <f t="shared" si="3"/>
        <v>4</v>
      </c>
      <c r="S15" s="13"/>
      <c r="T15" s="12"/>
      <c r="U15" s="12">
        <f t="shared" si="4"/>
        <v>4</v>
      </c>
      <c r="V15" s="13"/>
      <c r="W15" s="12"/>
      <c r="X15" s="12">
        <f t="shared" si="5"/>
        <v>4</v>
      </c>
      <c r="Y15" s="13"/>
      <c r="Z15" s="12"/>
      <c r="AA15" s="12">
        <f t="shared" si="6"/>
        <v>4</v>
      </c>
      <c r="AB15" s="13"/>
      <c r="AC15" s="12"/>
      <c r="AD15" s="12">
        <f t="shared" si="7"/>
        <v>4</v>
      </c>
      <c r="AE15" s="13"/>
      <c r="AF15" s="12"/>
      <c r="AG15" s="12">
        <f t="shared" si="8"/>
        <v>4</v>
      </c>
      <c r="AH15" s="13"/>
      <c r="AI15" s="12"/>
      <c r="AJ15" s="12">
        <f t="shared" si="9"/>
        <v>4</v>
      </c>
      <c r="AK15" s="13"/>
      <c r="AL15" s="12"/>
      <c r="AM15" s="12">
        <f t="shared" si="10"/>
        <v>4</v>
      </c>
      <c r="AN15" s="13"/>
      <c r="AO15" s="12"/>
      <c r="AP15" s="12">
        <f t="shared" si="11"/>
        <v>4</v>
      </c>
      <c r="AQ15" s="13"/>
      <c r="AR15" s="12"/>
      <c r="AS15" s="12">
        <f t="shared" si="12"/>
        <v>4</v>
      </c>
      <c r="AT15" s="13"/>
      <c r="AU15" s="12"/>
      <c r="AV15" s="12">
        <f t="shared" si="13"/>
        <v>4</v>
      </c>
      <c r="AW15" s="13"/>
      <c r="AX15" s="12"/>
      <c r="AY15" s="12">
        <f t="shared" si="14"/>
        <v>4</v>
      </c>
      <c r="AZ15" s="13"/>
      <c r="BA15" s="12"/>
      <c r="BB15" s="12">
        <f t="shared" si="15"/>
        <v>4</v>
      </c>
      <c r="BC15" s="13"/>
      <c r="BD15" s="12"/>
      <c r="BE15" s="12">
        <f t="shared" si="16"/>
        <v>4</v>
      </c>
      <c r="BF15" s="13"/>
      <c r="BG15" s="12"/>
      <c r="BH15" s="12">
        <f t="shared" si="17"/>
        <v>4</v>
      </c>
      <c r="BI15" s="13"/>
      <c r="BJ15" s="12"/>
      <c r="BK15" s="12">
        <f t="shared" si="18"/>
        <v>4</v>
      </c>
      <c r="BL15" s="13"/>
      <c r="BM15" s="12"/>
      <c r="BN15" s="12">
        <f t="shared" si="19"/>
        <v>4</v>
      </c>
      <c r="BO15" s="13"/>
      <c r="BP15" s="14">
        <f t="shared" si="20"/>
        <v>0</v>
      </c>
      <c r="BQ15" s="14">
        <f t="shared" si="21"/>
        <v>4</v>
      </c>
    </row>
    <row r="16" spans="1:69" ht="32" x14ac:dyDescent="0.2">
      <c r="A16" s="1"/>
      <c r="B16" s="8"/>
      <c r="C16" s="8"/>
      <c r="D16" s="10" t="s">
        <v>51</v>
      </c>
      <c r="E16" s="8" t="s">
        <v>35</v>
      </c>
      <c r="F16" s="11" t="s">
        <v>36</v>
      </c>
      <c r="G16" s="8">
        <v>2</v>
      </c>
      <c r="H16" s="12">
        <v>3</v>
      </c>
      <c r="I16" s="12">
        <f t="shared" si="0"/>
        <v>-1</v>
      </c>
      <c r="J16" s="13"/>
      <c r="K16" s="12"/>
      <c r="L16" s="12">
        <f t="shared" si="1"/>
        <v>-1</v>
      </c>
      <c r="M16" s="13"/>
      <c r="N16" s="12"/>
      <c r="O16" s="12">
        <f t="shared" si="2"/>
        <v>-1</v>
      </c>
      <c r="P16" s="13"/>
      <c r="Q16" s="12"/>
      <c r="R16" s="12">
        <f t="shared" si="3"/>
        <v>-1</v>
      </c>
      <c r="S16" s="13"/>
      <c r="T16" s="12"/>
      <c r="U16" s="12">
        <f t="shared" si="4"/>
        <v>-1</v>
      </c>
      <c r="V16" s="13"/>
      <c r="W16" s="12"/>
      <c r="X16" s="12">
        <f t="shared" si="5"/>
        <v>-1</v>
      </c>
      <c r="Y16" s="13"/>
      <c r="Z16" s="12"/>
      <c r="AA16" s="12">
        <f t="shared" si="6"/>
        <v>-1</v>
      </c>
      <c r="AB16" s="13"/>
      <c r="AC16" s="12"/>
      <c r="AD16" s="12">
        <f t="shared" si="7"/>
        <v>-1</v>
      </c>
      <c r="AE16" s="13"/>
      <c r="AF16" s="12"/>
      <c r="AG16" s="12">
        <f t="shared" si="8"/>
        <v>-1</v>
      </c>
      <c r="AH16" s="13"/>
      <c r="AI16" s="12"/>
      <c r="AJ16" s="12">
        <f t="shared" si="9"/>
        <v>-1</v>
      </c>
      <c r="AK16" s="13"/>
      <c r="AL16" s="12"/>
      <c r="AM16" s="12">
        <f t="shared" si="10"/>
        <v>-1</v>
      </c>
      <c r="AN16" s="13"/>
      <c r="AO16" s="12"/>
      <c r="AP16" s="12">
        <f t="shared" si="11"/>
        <v>-1</v>
      </c>
      <c r="AQ16" s="13"/>
      <c r="AR16" s="12"/>
      <c r="AS16" s="12">
        <f t="shared" si="12"/>
        <v>-1</v>
      </c>
      <c r="AT16" s="13"/>
      <c r="AU16" s="12"/>
      <c r="AV16" s="12">
        <f t="shared" si="13"/>
        <v>-1</v>
      </c>
      <c r="AW16" s="13"/>
      <c r="AX16" s="12"/>
      <c r="AY16" s="12">
        <f t="shared" si="14"/>
        <v>-1</v>
      </c>
      <c r="AZ16" s="13"/>
      <c r="BA16" s="12"/>
      <c r="BB16" s="12">
        <f t="shared" si="15"/>
        <v>-1</v>
      </c>
      <c r="BC16" s="13"/>
      <c r="BD16" s="12"/>
      <c r="BE16" s="12">
        <f t="shared" si="16"/>
        <v>-1</v>
      </c>
      <c r="BF16" s="13"/>
      <c r="BG16" s="12"/>
      <c r="BH16" s="12">
        <f t="shared" si="17"/>
        <v>-1</v>
      </c>
      <c r="BI16" s="13"/>
      <c r="BJ16" s="12"/>
      <c r="BK16" s="12">
        <f t="shared" si="18"/>
        <v>-1</v>
      </c>
      <c r="BL16" s="13"/>
      <c r="BM16" s="12"/>
      <c r="BN16" s="12">
        <f t="shared" si="19"/>
        <v>-1</v>
      </c>
      <c r="BO16" s="13"/>
      <c r="BP16" s="14">
        <f t="shared" si="20"/>
        <v>3</v>
      </c>
      <c r="BQ16" s="14">
        <f t="shared" si="21"/>
        <v>-1</v>
      </c>
    </row>
    <row r="17" spans="1:69" ht="32" x14ac:dyDescent="0.2">
      <c r="A17" s="1"/>
      <c r="B17" s="8"/>
      <c r="C17" s="8"/>
      <c r="D17" s="10" t="s">
        <v>52</v>
      </c>
      <c r="E17" s="8" t="s">
        <v>35</v>
      </c>
      <c r="F17" s="15" t="s">
        <v>40</v>
      </c>
      <c r="G17" s="8">
        <v>4</v>
      </c>
      <c r="H17" s="12">
        <v>0</v>
      </c>
      <c r="I17" s="12">
        <f t="shared" si="0"/>
        <v>4</v>
      </c>
      <c r="J17" s="13"/>
      <c r="K17" s="12"/>
      <c r="L17" s="12">
        <f t="shared" si="1"/>
        <v>4</v>
      </c>
      <c r="M17" s="13"/>
      <c r="N17" s="12"/>
      <c r="O17" s="12">
        <f t="shared" si="2"/>
        <v>4</v>
      </c>
      <c r="P17" s="13"/>
      <c r="Q17" s="12"/>
      <c r="R17" s="12">
        <f t="shared" si="3"/>
        <v>4</v>
      </c>
      <c r="S17" s="13"/>
      <c r="T17" s="12"/>
      <c r="U17" s="12">
        <f t="shared" si="4"/>
        <v>4</v>
      </c>
      <c r="V17" s="13"/>
      <c r="W17" s="12"/>
      <c r="X17" s="12">
        <f t="shared" si="5"/>
        <v>4</v>
      </c>
      <c r="Y17" s="13"/>
      <c r="Z17" s="12"/>
      <c r="AA17" s="12">
        <f t="shared" si="6"/>
        <v>4</v>
      </c>
      <c r="AB17" s="13"/>
      <c r="AC17" s="12"/>
      <c r="AD17" s="12">
        <f t="shared" si="7"/>
        <v>4</v>
      </c>
      <c r="AE17" s="13"/>
      <c r="AF17" s="12"/>
      <c r="AG17" s="12">
        <f t="shared" si="8"/>
        <v>4</v>
      </c>
      <c r="AH17" s="13"/>
      <c r="AI17" s="12"/>
      <c r="AJ17" s="12">
        <f t="shared" si="9"/>
        <v>4</v>
      </c>
      <c r="AK17" s="13"/>
      <c r="AL17" s="12"/>
      <c r="AM17" s="12">
        <f t="shared" si="10"/>
        <v>4</v>
      </c>
      <c r="AN17" s="13"/>
      <c r="AO17" s="12"/>
      <c r="AP17" s="12">
        <f t="shared" si="11"/>
        <v>4</v>
      </c>
      <c r="AQ17" s="13"/>
      <c r="AR17" s="12"/>
      <c r="AS17" s="12">
        <f t="shared" si="12"/>
        <v>4</v>
      </c>
      <c r="AT17" s="13"/>
      <c r="AU17" s="12"/>
      <c r="AV17" s="12">
        <f t="shared" si="13"/>
        <v>4</v>
      </c>
      <c r="AW17" s="13"/>
      <c r="AX17" s="12"/>
      <c r="AY17" s="12">
        <f t="shared" si="14"/>
        <v>4</v>
      </c>
      <c r="AZ17" s="13"/>
      <c r="BA17" s="12"/>
      <c r="BB17" s="12">
        <f t="shared" si="15"/>
        <v>4</v>
      </c>
      <c r="BC17" s="13"/>
      <c r="BD17" s="12"/>
      <c r="BE17" s="12">
        <f t="shared" si="16"/>
        <v>4</v>
      </c>
      <c r="BF17" s="13"/>
      <c r="BG17" s="12"/>
      <c r="BH17" s="12">
        <f t="shared" si="17"/>
        <v>4</v>
      </c>
      <c r="BI17" s="13"/>
      <c r="BJ17" s="12"/>
      <c r="BK17" s="12">
        <f t="shared" si="18"/>
        <v>4</v>
      </c>
      <c r="BL17" s="13"/>
      <c r="BM17" s="12"/>
      <c r="BN17" s="12">
        <f t="shared" si="19"/>
        <v>4</v>
      </c>
      <c r="BO17" s="13"/>
      <c r="BP17" s="14">
        <f t="shared" si="20"/>
        <v>0</v>
      </c>
      <c r="BQ17" s="14">
        <f t="shared" si="21"/>
        <v>4</v>
      </c>
    </row>
    <row r="18" spans="1:69" ht="64" x14ac:dyDescent="0.2">
      <c r="A18" s="1"/>
      <c r="B18" s="8" t="s">
        <v>53</v>
      </c>
      <c r="C18" s="9" t="s">
        <v>54</v>
      </c>
      <c r="D18" s="10" t="s">
        <v>55</v>
      </c>
      <c r="E18" s="8" t="s">
        <v>35</v>
      </c>
      <c r="F18" s="11" t="s">
        <v>36</v>
      </c>
      <c r="G18" s="8">
        <v>3</v>
      </c>
      <c r="H18" s="12">
        <v>3</v>
      </c>
      <c r="I18" s="12">
        <f t="shared" si="0"/>
        <v>0</v>
      </c>
      <c r="J18" s="13"/>
      <c r="K18" s="12"/>
      <c r="L18" s="12">
        <f t="shared" si="1"/>
        <v>0</v>
      </c>
      <c r="M18" s="13"/>
      <c r="N18" s="12"/>
      <c r="O18" s="12">
        <f t="shared" si="2"/>
        <v>0</v>
      </c>
      <c r="P18" s="13"/>
      <c r="Q18" s="12"/>
      <c r="R18" s="12">
        <f t="shared" si="3"/>
        <v>0</v>
      </c>
      <c r="S18" s="13"/>
      <c r="T18" s="12"/>
      <c r="U18" s="12">
        <f t="shared" si="4"/>
        <v>0</v>
      </c>
      <c r="V18" s="13"/>
      <c r="W18" s="12"/>
      <c r="X18" s="12">
        <f t="shared" si="5"/>
        <v>0</v>
      </c>
      <c r="Y18" s="13"/>
      <c r="Z18" s="12"/>
      <c r="AA18" s="12">
        <f t="shared" si="6"/>
        <v>0</v>
      </c>
      <c r="AB18" s="13"/>
      <c r="AC18" s="12"/>
      <c r="AD18" s="12">
        <f t="shared" si="7"/>
        <v>0</v>
      </c>
      <c r="AE18" s="13"/>
      <c r="AF18" s="12"/>
      <c r="AG18" s="12">
        <f t="shared" si="8"/>
        <v>0</v>
      </c>
      <c r="AH18" s="13"/>
      <c r="AI18" s="12"/>
      <c r="AJ18" s="12">
        <f t="shared" si="9"/>
        <v>0</v>
      </c>
      <c r="AK18" s="13"/>
      <c r="AL18" s="12"/>
      <c r="AM18" s="12">
        <f t="shared" si="10"/>
        <v>0</v>
      </c>
      <c r="AN18" s="13"/>
      <c r="AO18" s="12"/>
      <c r="AP18" s="12">
        <f t="shared" si="11"/>
        <v>0</v>
      </c>
      <c r="AQ18" s="13"/>
      <c r="AR18" s="12"/>
      <c r="AS18" s="12">
        <f t="shared" si="12"/>
        <v>0</v>
      </c>
      <c r="AT18" s="13"/>
      <c r="AU18" s="12"/>
      <c r="AV18" s="12">
        <f t="shared" si="13"/>
        <v>0</v>
      </c>
      <c r="AW18" s="13"/>
      <c r="AX18" s="12"/>
      <c r="AY18" s="12">
        <f t="shared" si="14"/>
        <v>0</v>
      </c>
      <c r="AZ18" s="13"/>
      <c r="BA18" s="12"/>
      <c r="BB18" s="12">
        <f t="shared" si="15"/>
        <v>0</v>
      </c>
      <c r="BC18" s="13"/>
      <c r="BD18" s="12"/>
      <c r="BE18" s="12">
        <f t="shared" si="16"/>
        <v>0</v>
      </c>
      <c r="BF18" s="13"/>
      <c r="BG18" s="12"/>
      <c r="BH18" s="12">
        <f t="shared" si="17"/>
        <v>0</v>
      </c>
      <c r="BI18" s="13"/>
      <c r="BJ18" s="12"/>
      <c r="BK18" s="12">
        <f t="shared" si="18"/>
        <v>0</v>
      </c>
      <c r="BL18" s="13"/>
      <c r="BM18" s="12"/>
      <c r="BN18" s="12">
        <f t="shared" si="19"/>
        <v>0</v>
      </c>
      <c r="BO18" s="13"/>
      <c r="BP18" s="14">
        <f t="shared" si="20"/>
        <v>3</v>
      </c>
      <c r="BQ18" s="14">
        <f t="shared" si="21"/>
        <v>0</v>
      </c>
    </row>
    <row r="19" spans="1:69" ht="32" x14ac:dyDescent="0.2">
      <c r="A19" s="1"/>
      <c r="B19" s="8"/>
      <c r="C19" s="8"/>
      <c r="D19" s="10" t="s">
        <v>57</v>
      </c>
      <c r="E19" s="8" t="s">
        <v>35</v>
      </c>
      <c r="F19" s="11" t="s">
        <v>36</v>
      </c>
      <c r="G19" s="8">
        <v>5</v>
      </c>
      <c r="H19" s="12">
        <v>3</v>
      </c>
      <c r="I19" s="12">
        <f t="shared" si="0"/>
        <v>2</v>
      </c>
      <c r="J19" s="13"/>
      <c r="K19" s="12"/>
      <c r="L19" s="12">
        <f t="shared" si="1"/>
        <v>2</v>
      </c>
      <c r="M19" s="13"/>
      <c r="N19" s="12"/>
      <c r="O19" s="12">
        <f t="shared" si="2"/>
        <v>2</v>
      </c>
      <c r="P19" s="13"/>
      <c r="Q19" s="12"/>
      <c r="R19" s="12">
        <f t="shared" si="3"/>
        <v>2</v>
      </c>
      <c r="S19" s="13"/>
      <c r="T19" s="12"/>
      <c r="U19" s="12">
        <f t="shared" si="4"/>
        <v>2</v>
      </c>
      <c r="V19" s="13"/>
      <c r="W19" s="12"/>
      <c r="X19" s="12">
        <f t="shared" si="5"/>
        <v>2</v>
      </c>
      <c r="Y19" s="13"/>
      <c r="Z19" s="12"/>
      <c r="AA19" s="12">
        <f t="shared" si="6"/>
        <v>2</v>
      </c>
      <c r="AB19" s="13"/>
      <c r="AC19" s="12"/>
      <c r="AD19" s="12">
        <f t="shared" si="7"/>
        <v>2</v>
      </c>
      <c r="AE19" s="13"/>
      <c r="AF19" s="12"/>
      <c r="AG19" s="12">
        <f t="shared" si="8"/>
        <v>2</v>
      </c>
      <c r="AH19" s="13"/>
      <c r="AI19" s="12"/>
      <c r="AJ19" s="12">
        <f t="shared" si="9"/>
        <v>2</v>
      </c>
      <c r="AK19" s="13"/>
      <c r="AL19" s="12"/>
      <c r="AM19" s="12">
        <f t="shared" si="10"/>
        <v>2</v>
      </c>
      <c r="AN19" s="13"/>
      <c r="AO19" s="12"/>
      <c r="AP19" s="12">
        <f t="shared" si="11"/>
        <v>2</v>
      </c>
      <c r="AQ19" s="13"/>
      <c r="AR19" s="12"/>
      <c r="AS19" s="12">
        <f t="shared" si="12"/>
        <v>2</v>
      </c>
      <c r="AT19" s="13"/>
      <c r="AU19" s="12"/>
      <c r="AV19" s="12">
        <f t="shared" si="13"/>
        <v>2</v>
      </c>
      <c r="AW19" s="13"/>
      <c r="AX19" s="12"/>
      <c r="AY19" s="12">
        <f t="shared" si="14"/>
        <v>2</v>
      </c>
      <c r="AZ19" s="13"/>
      <c r="BA19" s="12"/>
      <c r="BB19" s="12">
        <f t="shared" si="15"/>
        <v>2</v>
      </c>
      <c r="BC19" s="13"/>
      <c r="BD19" s="12"/>
      <c r="BE19" s="12">
        <f t="shared" si="16"/>
        <v>2</v>
      </c>
      <c r="BF19" s="13"/>
      <c r="BG19" s="12"/>
      <c r="BH19" s="12">
        <f t="shared" si="17"/>
        <v>2</v>
      </c>
      <c r="BI19" s="13"/>
      <c r="BJ19" s="12"/>
      <c r="BK19" s="12">
        <f t="shared" si="18"/>
        <v>2</v>
      </c>
      <c r="BL19" s="13"/>
      <c r="BM19" s="12"/>
      <c r="BN19" s="12">
        <f t="shared" si="19"/>
        <v>2</v>
      </c>
      <c r="BO19" s="13"/>
      <c r="BP19" s="14">
        <f t="shared" si="20"/>
        <v>3</v>
      </c>
      <c r="BQ19" s="14">
        <f t="shared" si="21"/>
        <v>2</v>
      </c>
    </row>
    <row r="20" spans="1:69" ht="32" x14ac:dyDescent="0.2">
      <c r="A20" s="1"/>
      <c r="B20" s="8"/>
      <c r="C20" s="8"/>
      <c r="D20" s="10" t="s">
        <v>58</v>
      </c>
      <c r="E20" s="8" t="s">
        <v>35</v>
      </c>
      <c r="F20" s="15" t="s">
        <v>40</v>
      </c>
      <c r="G20" s="8">
        <v>2</v>
      </c>
      <c r="H20" s="12">
        <v>0</v>
      </c>
      <c r="I20" s="12">
        <f t="shared" si="0"/>
        <v>2</v>
      </c>
      <c r="J20" s="13"/>
      <c r="K20" s="12"/>
      <c r="L20" s="12">
        <f t="shared" si="1"/>
        <v>2</v>
      </c>
      <c r="M20" s="13"/>
      <c r="N20" s="12"/>
      <c r="O20" s="12">
        <f t="shared" si="2"/>
        <v>2</v>
      </c>
      <c r="P20" s="13"/>
      <c r="Q20" s="12"/>
      <c r="R20" s="12">
        <f t="shared" si="3"/>
        <v>2</v>
      </c>
      <c r="S20" s="13"/>
      <c r="T20" s="12"/>
      <c r="U20" s="12">
        <f t="shared" si="4"/>
        <v>2</v>
      </c>
      <c r="V20" s="13"/>
      <c r="W20" s="12"/>
      <c r="X20" s="12">
        <f t="shared" si="5"/>
        <v>2</v>
      </c>
      <c r="Y20" s="13"/>
      <c r="Z20" s="12"/>
      <c r="AA20" s="12">
        <f t="shared" si="6"/>
        <v>2</v>
      </c>
      <c r="AB20" s="13"/>
      <c r="AC20" s="12"/>
      <c r="AD20" s="12">
        <f t="shared" si="7"/>
        <v>2</v>
      </c>
      <c r="AE20" s="13"/>
      <c r="AF20" s="12"/>
      <c r="AG20" s="12">
        <f t="shared" si="8"/>
        <v>2</v>
      </c>
      <c r="AH20" s="13"/>
      <c r="AI20" s="12"/>
      <c r="AJ20" s="12">
        <f t="shared" si="9"/>
        <v>2</v>
      </c>
      <c r="AK20" s="13"/>
      <c r="AL20" s="12"/>
      <c r="AM20" s="12">
        <f t="shared" si="10"/>
        <v>2</v>
      </c>
      <c r="AN20" s="13"/>
      <c r="AO20" s="12"/>
      <c r="AP20" s="12">
        <f t="shared" si="11"/>
        <v>2</v>
      </c>
      <c r="AQ20" s="13"/>
      <c r="AR20" s="12"/>
      <c r="AS20" s="12">
        <f t="shared" si="12"/>
        <v>2</v>
      </c>
      <c r="AT20" s="13"/>
      <c r="AU20" s="12"/>
      <c r="AV20" s="12">
        <f t="shared" si="13"/>
        <v>2</v>
      </c>
      <c r="AW20" s="13"/>
      <c r="AX20" s="12"/>
      <c r="AY20" s="12">
        <f t="shared" si="14"/>
        <v>2</v>
      </c>
      <c r="AZ20" s="13"/>
      <c r="BA20" s="12"/>
      <c r="BB20" s="12">
        <f t="shared" si="15"/>
        <v>2</v>
      </c>
      <c r="BC20" s="13"/>
      <c r="BD20" s="12"/>
      <c r="BE20" s="12">
        <f t="shared" si="16"/>
        <v>2</v>
      </c>
      <c r="BF20" s="13"/>
      <c r="BG20" s="12"/>
      <c r="BH20" s="12">
        <f t="shared" si="17"/>
        <v>2</v>
      </c>
      <c r="BI20" s="13"/>
      <c r="BJ20" s="12"/>
      <c r="BK20" s="12">
        <f t="shared" si="18"/>
        <v>2</v>
      </c>
      <c r="BL20" s="13"/>
      <c r="BM20" s="12"/>
      <c r="BN20" s="12">
        <f t="shared" si="19"/>
        <v>2</v>
      </c>
      <c r="BO20" s="13"/>
      <c r="BP20" s="14">
        <f t="shared" si="20"/>
        <v>0</v>
      </c>
      <c r="BQ20" s="14">
        <f t="shared" si="21"/>
        <v>2</v>
      </c>
    </row>
    <row r="21" spans="1:69" ht="64" x14ac:dyDescent="0.2">
      <c r="A21" s="1"/>
      <c r="B21" s="8" t="s">
        <v>59</v>
      </c>
      <c r="C21" s="9" t="s">
        <v>60</v>
      </c>
      <c r="D21" s="10" t="s">
        <v>61</v>
      </c>
      <c r="E21" s="8" t="s">
        <v>35</v>
      </c>
      <c r="F21" s="11" t="s">
        <v>36</v>
      </c>
      <c r="G21" s="8">
        <v>3</v>
      </c>
      <c r="H21" s="12">
        <v>3</v>
      </c>
      <c r="I21" s="12">
        <f t="shared" si="0"/>
        <v>0</v>
      </c>
      <c r="J21" s="13"/>
      <c r="K21" s="12"/>
      <c r="L21" s="12">
        <f t="shared" si="1"/>
        <v>0</v>
      </c>
      <c r="M21" s="13"/>
      <c r="N21" s="12"/>
      <c r="O21" s="12">
        <f t="shared" si="2"/>
        <v>0</v>
      </c>
      <c r="P21" s="13"/>
      <c r="Q21" s="12"/>
      <c r="R21" s="12">
        <f t="shared" si="3"/>
        <v>0</v>
      </c>
      <c r="S21" s="13"/>
      <c r="T21" s="12"/>
      <c r="U21" s="12">
        <f t="shared" si="4"/>
        <v>0</v>
      </c>
      <c r="V21" s="13"/>
      <c r="W21" s="12"/>
      <c r="X21" s="12">
        <f t="shared" si="5"/>
        <v>0</v>
      </c>
      <c r="Y21" s="13"/>
      <c r="Z21" s="12"/>
      <c r="AA21" s="12">
        <f t="shared" si="6"/>
        <v>0</v>
      </c>
      <c r="AB21" s="13"/>
      <c r="AC21" s="12"/>
      <c r="AD21" s="12">
        <f t="shared" si="7"/>
        <v>0</v>
      </c>
      <c r="AE21" s="13"/>
      <c r="AF21" s="12"/>
      <c r="AG21" s="12">
        <f t="shared" si="8"/>
        <v>0</v>
      </c>
      <c r="AH21" s="13"/>
      <c r="AI21" s="12"/>
      <c r="AJ21" s="12">
        <f t="shared" si="9"/>
        <v>0</v>
      </c>
      <c r="AK21" s="13"/>
      <c r="AL21" s="12"/>
      <c r="AM21" s="12">
        <f t="shared" si="10"/>
        <v>0</v>
      </c>
      <c r="AN21" s="13"/>
      <c r="AO21" s="12"/>
      <c r="AP21" s="12">
        <f t="shared" si="11"/>
        <v>0</v>
      </c>
      <c r="AQ21" s="13"/>
      <c r="AR21" s="12"/>
      <c r="AS21" s="12">
        <f t="shared" si="12"/>
        <v>0</v>
      </c>
      <c r="AT21" s="13"/>
      <c r="AU21" s="12"/>
      <c r="AV21" s="12">
        <f t="shared" si="13"/>
        <v>0</v>
      </c>
      <c r="AW21" s="13"/>
      <c r="AX21" s="12"/>
      <c r="AY21" s="12">
        <f t="shared" si="14"/>
        <v>0</v>
      </c>
      <c r="AZ21" s="13"/>
      <c r="BA21" s="12"/>
      <c r="BB21" s="12">
        <f t="shared" si="15"/>
        <v>0</v>
      </c>
      <c r="BC21" s="13"/>
      <c r="BD21" s="12"/>
      <c r="BE21" s="12">
        <f t="shared" si="16"/>
        <v>0</v>
      </c>
      <c r="BF21" s="13"/>
      <c r="BG21" s="12"/>
      <c r="BH21" s="12">
        <f t="shared" si="17"/>
        <v>0</v>
      </c>
      <c r="BI21" s="13"/>
      <c r="BJ21" s="12"/>
      <c r="BK21" s="12">
        <f t="shared" si="18"/>
        <v>0</v>
      </c>
      <c r="BL21" s="13"/>
      <c r="BM21" s="12"/>
      <c r="BN21" s="12">
        <f t="shared" si="19"/>
        <v>0</v>
      </c>
      <c r="BO21" s="13"/>
      <c r="BP21" s="14">
        <f t="shared" si="20"/>
        <v>3</v>
      </c>
      <c r="BQ21" s="14">
        <f t="shared" si="21"/>
        <v>0</v>
      </c>
    </row>
    <row r="22" spans="1:69" ht="32" x14ac:dyDescent="0.2">
      <c r="A22" s="1"/>
      <c r="B22" s="8"/>
      <c r="C22" s="8"/>
      <c r="D22" s="10" t="s">
        <v>62</v>
      </c>
      <c r="E22" s="8" t="s">
        <v>35</v>
      </c>
      <c r="F22" s="15" t="s">
        <v>40</v>
      </c>
      <c r="G22" s="8">
        <v>2</v>
      </c>
      <c r="H22" s="12">
        <v>0</v>
      </c>
      <c r="I22" s="12">
        <f t="shared" si="0"/>
        <v>2</v>
      </c>
      <c r="J22" s="13"/>
      <c r="K22" s="12"/>
      <c r="L22" s="12">
        <f t="shared" si="1"/>
        <v>2</v>
      </c>
      <c r="M22" s="13"/>
      <c r="N22" s="12"/>
      <c r="O22" s="12">
        <f t="shared" si="2"/>
        <v>2</v>
      </c>
      <c r="P22" s="13"/>
      <c r="Q22" s="12"/>
      <c r="R22" s="12">
        <f t="shared" si="3"/>
        <v>2</v>
      </c>
      <c r="S22" s="13"/>
      <c r="T22" s="12"/>
      <c r="U22" s="12">
        <f t="shared" si="4"/>
        <v>2</v>
      </c>
      <c r="V22" s="13"/>
      <c r="W22" s="12"/>
      <c r="X22" s="12">
        <f t="shared" si="5"/>
        <v>2</v>
      </c>
      <c r="Y22" s="13"/>
      <c r="Z22" s="12"/>
      <c r="AA22" s="12">
        <f t="shared" si="6"/>
        <v>2</v>
      </c>
      <c r="AB22" s="13"/>
      <c r="AC22" s="12"/>
      <c r="AD22" s="12">
        <f t="shared" si="7"/>
        <v>2</v>
      </c>
      <c r="AE22" s="13"/>
      <c r="AF22" s="12"/>
      <c r="AG22" s="12">
        <f t="shared" si="8"/>
        <v>2</v>
      </c>
      <c r="AH22" s="13"/>
      <c r="AI22" s="12"/>
      <c r="AJ22" s="12">
        <f t="shared" si="9"/>
        <v>2</v>
      </c>
      <c r="AK22" s="13"/>
      <c r="AL22" s="12"/>
      <c r="AM22" s="12">
        <f t="shared" si="10"/>
        <v>2</v>
      </c>
      <c r="AN22" s="13"/>
      <c r="AO22" s="12"/>
      <c r="AP22" s="12">
        <f t="shared" si="11"/>
        <v>2</v>
      </c>
      <c r="AQ22" s="13"/>
      <c r="AR22" s="12"/>
      <c r="AS22" s="12">
        <f t="shared" si="12"/>
        <v>2</v>
      </c>
      <c r="AT22" s="13"/>
      <c r="AU22" s="12"/>
      <c r="AV22" s="12">
        <f t="shared" si="13"/>
        <v>2</v>
      </c>
      <c r="AW22" s="13"/>
      <c r="AX22" s="12"/>
      <c r="AY22" s="12">
        <f t="shared" si="14"/>
        <v>2</v>
      </c>
      <c r="AZ22" s="13"/>
      <c r="BA22" s="12"/>
      <c r="BB22" s="12">
        <f t="shared" si="15"/>
        <v>2</v>
      </c>
      <c r="BC22" s="13"/>
      <c r="BD22" s="12"/>
      <c r="BE22" s="12">
        <f t="shared" si="16"/>
        <v>2</v>
      </c>
      <c r="BF22" s="13"/>
      <c r="BG22" s="12"/>
      <c r="BH22" s="12">
        <f t="shared" si="17"/>
        <v>2</v>
      </c>
      <c r="BI22" s="13"/>
      <c r="BJ22" s="12"/>
      <c r="BK22" s="12">
        <f t="shared" si="18"/>
        <v>2</v>
      </c>
      <c r="BL22" s="13"/>
      <c r="BM22" s="12"/>
      <c r="BN22" s="12">
        <f t="shared" si="19"/>
        <v>2</v>
      </c>
      <c r="BO22" s="13"/>
      <c r="BP22" s="14">
        <f t="shared" si="20"/>
        <v>0</v>
      </c>
      <c r="BQ22" s="14">
        <f t="shared" si="21"/>
        <v>2</v>
      </c>
    </row>
    <row r="23" spans="1:69" ht="32" x14ac:dyDescent="0.2">
      <c r="A23" s="1"/>
      <c r="B23" s="8"/>
      <c r="C23" s="8"/>
      <c r="D23" s="10" t="s">
        <v>63</v>
      </c>
      <c r="E23" s="8" t="s">
        <v>35</v>
      </c>
      <c r="F23" s="22" t="s">
        <v>36</v>
      </c>
      <c r="G23" s="8">
        <v>3</v>
      </c>
      <c r="H23" s="12">
        <v>3</v>
      </c>
      <c r="I23" s="12">
        <f t="shared" si="0"/>
        <v>0</v>
      </c>
      <c r="J23" s="13"/>
      <c r="K23" s="12">
        <v>2</v>
      </c>
      <c r="L23" s="12">
        <f t="shared" si="1"/>
        <v>-2</v>
      </c>
      <c r="M23" s="13"/>
      <c r="N23" s="12"/>
      <c r="O23" s="12">
        <f t="shared" si="2"/>
        <v>-2</v>
      </c>
      <c r="P23" s="13"/>
      <c r="Q23" s="12"/>
      <c r="R23" s="12">
        <f t="shared" si="3"/>
        <v>-2</v>
      </c>
      <c r="S23" s="13"/>
      <c r="T23" s="12"/>
      <c r="U23" s="12">
        <f t="shared" si="4"/>
        <v>-2</v>
      </c>
      <c r="V23" s="13"/>
      <c r="W23" s="12"/>
      <c r="X23" s="12">
        <f t="shared" si="5"/>
        <v>-2</v>
      </c>
      <c r="Y23" s="13"/>
      <c r="Z23" s="12"/>
      <c r="AA23" s="12">
        <f t="shared" si="6"/>
        <v>-2</v>
      </c>
      <c r="AB23" s="13"/>
      <c r="AC23" s="12"/>
      <c r="AD23" s="12">
        <f t="shared" si="7"/>
        <v>-2</v>
      </c>
      <c r="AE23" s="13"/>
      <c r="AF23" s="12"/>
      <c r="AG23" s="12">
        <f t="shared" si="8"/>
        <v>-2</v>
      </c>
      <c r="AH23" s="13"/>
      <c r="AI23" s="12"/>
      <c r="AJ23" s="12">
        <f t="shared" si="9"/>
        <v>-2</v>
      </c>
      <c r="AK23" s="13"/>
      <c r="AL23" s="12"/>
      <c r="AM23" s="12">
        <f t="shared" si="10"/>
        <v>-2</v>
      </c>
      <c r="AN23" s="13"/>
      <c r="AO23" s="12"/>
      <c r="AP23" s="12">
        <f t="shared" si="11"/>
        <v>-2</v>
      </c>
      <c r="AQ23" s="13"/>
      <c r="AR23" s="12"/>
      <c r="AS23" s="12">
        <f t="shared" si="12"/>
        <v>-2</v>
      </c>
      <c r="AT23" s="13"/>
      <c r="AU23" s="12"/>
      <c r="AV23" s="12">
        <f t="shared" si="13"/>
        <v>-2</v>
      </c>
      <c r="AW23" s="13"/>
      <c r="AX23" s="12"/>
      <c r="AY23" s="12">
        <f t="shared" si="14"/>
        <v>-2</v>
      </c>
      <c r="AZ23" s="13"/>
      <c r="BA23" s="12"/>
      <c r="BB23" s="12">
        <f t="shared" si="15"/>
        <v>-2</v>
      </c>
      <c r="BC23" s="13"/>
      <c r="BD23" s="12"/>
      <c r="BE23" s="12">
        <f t="shared" si="16"/>
        <v>-2</v>
      </c>
      <c r="BF23" s="13"/>
      <c r="BG23" s="12"/>
      <c r="BH23" s="12">
        <f t="shared" si="17"/>
        <v>-2</v>
      </c>
      <c r="BI23" s="13"/>
      <c r="BJ23" s="12"/>
      <c r="BK23" s="12">
        <f t="shared" si="18"/>
        <v>-2</v>
      </c>
      <c r="BL23" s="13"/>
      <c r="BM23" s="12"/>
      <c r="BN23" s="12">
        <f t="shared" si="19"/>
        <v>-2</v>
      </c>
      <c r="BO23" s="13"/>
      <c r="BP23" s="14">
        <f t="shared" si="20"/>
        <v>5</v>
      </c>
      <c r="BQ23" s="14">
        <f t="shared" si="21"/>
        <v>-2</v>
      </c>
    </row>
    <row r="24" spans="1:69" ht="64" x14ac:dyDescent="0.2">
      <c r="A24" s="1"/>
      <c r="B24" s="8" t="s">
        <v>64</v>
      </c>
      <c r="C24" s="9" t="s">
        <v>65</v>
      </c>
      <c r="D24" s="10" t="s">
        <v>66</v>
      </c>
      <c r="E24" s="8" t="s">
        <v>35</v>
      </c>
      <c r="F24" s="22" t="s">
        <v>36</v>
      </c>
      <c r="G24" s="8">
        <v>2</v>
      </c>
      <c r="H24" s="12">
        <v>2</v>
      </c>
      <c r="I24" s="12">
        <f t="shared" si="0"/>
        <v>0</v>
      </c>
      <c r="J24" s="13"/>
      <c r="K24" s="12"/>
      <c r="L24" s="12">
        <f t="shared" si="1"/>
        <v>0</v>
      </c>
      <c r="M24" s="13"/>
      <c r="N24" s="12"/>
      <c r="O24" s="12">
        <f t="shared" si="2"/>
        <v>0</v>
      </c>
      <c r="P24" s="13"/>
      <c r="Q24" s="12"/>
      <c r="R24" s="12">
        <f t="shared" si="3"/>
        <v>0</v>
      </c>
      <c r="S24" s="13"/>
      <c r="T24" s="12"/>
      <c r="U24" s="12">
        <f t="shared" si="4"/>
        <v>0</v>
      </c>
      <c r="V24" s="13"/>
      <c r="W24" s="12"/>
      <c r="X24" s="12">
        <f t="shared" si="5"/>
        <v>0</v>
      </c>
      <c r="Y24" s="13"/>
      <c r="Z24" s="12"/>
      <c r="AA24" s="12">
        <f t="shared" si="6"/>
        <v>0</v>
      </c>
      <c r="AB24" s="13"/>
      <c r="AC24" s="12"/>
      <c r="AD24" s="12">
        <f t="shared" si="7"/>
        <v>0</v>
      </c>
      <c r="AE24" s="13"/>
      <c r="AF24" s="12"/>
      <c r="AG24" s="12">
        <f t="shared" si="8"/>
        <v>0</v>
      </c>
      <c r="AH24" s="13"/>
      <c r="AI24" s="12"/>
      <c r="AJ24" s="12">
        <f t="shared" si="9"/>
        <v>0</v>
      </c>
      <c r="AK24" s="13"/>
      <c r="AL24" s="12"/>
      <c r="AM24" s="12">
        <f t="shared" si="10"/>
        <v>0</v>
      </c>
      <c r="AN24" s="13"/>
      <c r="AO24" s="12"/>
      <c r="AP24" s="12">
        <f t="shared" si="11"/>
        <v>0</v>
      </c>
      <c r="AQ24" s="13"/>
      <c r="AR24" s="12"/>
      <c r="AS24" s="12">
        <f t="shared" si="12"/>
        <v>0</v>
      </c>
      <c r="AT24" s="13"/>
      <c r="AU24" s="12"/>
      <c r="AV24" s="12">
        <f t="shared" si="13"/>
        <v>0</v>
      </c>
      <c r="AW24" s="13"/>
      <c r="AX24" s="12"/>
      <c r="AY24" s="12">
        <f t="shared" si="14"/>
        <v>0</v>
      </c>
      <c r="AZ24" s="13"/>
      <c r="BA24" s="12"/>
      <c r="BB24" s="12">
        <f t="shared" si="15"/>
        <v>0</v>
      </c>
      <c r="BC24" s="13"/>
      <c r="BD24" s="12"/>
      <c r="BE24" s="12">
        <f t="shared" si="16"/>
        <v>0</v>
      </c>
      <c r="BF24" s="13"/>
      <c r="BG24" s="12"/>
      <c r="BH24" s="12">
        <f t="shared" si="17"/>
        <v>0</v>
      </c>
      <c r="BI24" s="13"/>
      <c r="BJ24" s="12"/>
      <c r="BK24" s="12">
        <f t="shared" si="18"/>
        <v>0</v>
      </c>
      <c r="BL24" s="13"/>
      <c r="BM24" s="12"/>
      <c r="BN24" s="12">
        <f t="shared" si="19"/>
        <v>0</v>
      </c>
      <c r="BO24" s="13"/>
      <c r="BP24" s="14">
        <f t="shared" si="20"/>
        <v>2</v>
      </c>
      <c r="BQ24" s="14">
        <f t="shared" si="21"/>
        <v>0</v>
      </c>
    </row>
    <row r="25" spans="1:69" ht="32" x14ac:dyDescent="0.2">
      <c r="A25" s="1"/>
      <c r="B25" s="8"/>
      <c r="C25" s="8"/>
      <c r="D25" s="10" t="s">
        <v>67</v>
      </c>
      <c r="E25" s="8" t="s">
        <v>35</v>
      </c>
      <c r="F25" s="22" t="s">
        <v>36</v>
      </c>
      <c r="G25" s="8">
        <v>2</v>
      </c>
      <c r="H25" s="12">
        <v>2</v>
      </c>
      <c r="I25" s="12">
        <f t="shared" si="0"/>
        <v>0</v>
      </c>
      <c r="J25" s="13"/>
      <c r="K25" s="12"/>
      <c r="L25" s="12">
        <f t="shared" si="1"/>
        <v>0</v>
      </c>
      <c r="M25" s="13"/>
      <c r="N25" s="12"/>
      <c r="O25" s="12">
        <f t="shared" si="2"/>
        <v>0</v>
      </c>
      <c r="P25" s="13"/>
      <c r="Q25" s="12"/>
      <c r="R25" s="12">
        <f t="shared" si="3"/>
        <v>0</v>
      </c>
      <c r="S25" s="13"/>
      <c r="T25" s="12"/>
      <c r="U25" s="12">
        <f t="shared" si="4"/>
        <v>0</v>
      </c>
      <c r="V25" s="13"/>
      <c r="W25" s="12"/>
      <c r="X25" s="12">
        <f t="shared" si="5"/>
        <v>0</v>
      </c>
      <c r="Y25" s="13"/>
      <c r="Z25" s="12"/>
      <c r="AA25" s="12">
        <f t="shared" si="6"/>
        <v>0</v>
      </c>
      <c r="AB25" s="13"/>
      <c r="AC25" s="12"/>
      <c r="AD25" s="12">
        <f t="shared" si="7"/>
        <v>0</v>
      </c>
      <c r="AE25" s="13"/>
      <c r="AF25" s="12"/>
      <c r="AG25" s="12">
        <f t="shared" si="8"/>
        <v>0</v>
      </c>
      <c r="AH25" s="13"/>
      <c r="AI25" s="12"/>
      <c r="AJ25" s="12">
        <f t="shared" si="9"/>
        <v>0</v>
      </c>
      <c r="AK25" s="13"/>
      <c r="AL25" s="12"/>
      <c r="AM25" s="12">
        <f t="shared" si="10"/>
        <v>0</v>
      </c>
      <c r="AN25" s="13"/>
      <c r="AO25" s="12"/>
      <c r="AP25" s="12">
        <f t="shared" si="11"/>
        <v>0</v>
      </c>
      <c r="AQ25" s="13"/>
      <c r="AR25" s="12"/>
      <c r="AS25" s="12">
        <f t="shared" si="12"/>
        <v>0</v>
      </c>
      <c r="AT25" s="13"/>
      <c r="AU25" s="12"/>
      <c r="AV25" s="12">
        <f t="shared" si="13"/>
        <v>0</v>
      </c>
      <c r="AW25" s="13"/>
      <c r="AX25" s="12"/>
      <c r="AY25" s="12">
        <f t="shared" si="14"/>
        <v>0</v>
      </c>
      <c r="AZ25" s="13"/>
      <c r="BA25" s="12"/>
      <c r="BB25" s="12">
        <f t="shared" si="15"/>
        <v>0</v>
      </c>
      <c r="BC25" s="13"/>
      <c r="BD25" s="12"/>
      <c r="BE25" s="12">
        <f t="shared" si="16"/>
        <v>0</v>
      </c>
      <c r="BF25" s="13"/>
      <c r="BG25" s="12"/>
      <c r="BH25" s="12">
        <f t="shared" si="17"/>
        <v>0</v>
      </c>
      <c r="BI25" s="13"/>
      <c r="BJ25" s="12"/>
      <c r="BK25" s="12">
        <f t="shared" si="18"/>
        <v>0</v>
      </c>
      <c r="BL25" s="13"/>
      <c r="BM25" s="12"/>
      <c r="BN25" s="12">
        <f t="shared" si="19"/>
        <v>0</v>
      </c>
      <c r="BO25" s="13"/>
      <c r="BP25" s="14">
        <f t="shared" si="20"/>
        <v>2</v>
      </c>
      <c r="BQ25" s="14">
        <f t="shared" si="21"/>
        <v>0</v>
      </c>
    </row>
    <row r="26" spans="1:69" ht="32" x14ac:dyDescent="0.2">
      <c r="A26" s="1"/>
      <c r="B26" s="8"/>
      <c r="C26" s="8"/>
      <c r="D26" s="10" t="s">
        <v>68</v>
      </c>
      <c r="E26" s="8" t="s">
        <v>35</v>
      </c>
      <c r="F26" s="22" t="s">
        <v>36</v>
      </c>
      <c r="G26" s="8">
        <v>2</v>
      </c>
      <c r="H26" s="12">
        <v>2</v>
      </c>
      <c r="I26" s="12">
        <f t="shared" si="0"/>
        <v>0</v>
      </c>
      <c r="J26" s="13"/>
      <c r="K26" s="12"/>
      <c r="L26" s="12">
        <f t="shared" si="1"/>
        <v>0</v>
      </c>
      <c r="M26" s="13"/>
      <c r="N26" s="12"/>
      <c r="O26" s="12">
        <f t="shared" si="2"/>
        <v>0</v>
      </c>
      <c r="P26" s="13"/>
      <c r="Q26" s="12"/>
      <c r="R26" s="12">
        <f t="shared" si="3"/>
        <v>0</v>
      </c>
      <c r="S26" s="13"/>
      <c r="T26" s="12"/>
      <c r="U26" s="12">
        <f t="shared" si="4"/>
        <v>0</v>
      </c>
      <c r="V26" s="13"/>
      <c r="W26" s="12"/>
      <c r="X26" s="12">
        <f t="shared" si="5"/>
        <v>0</v>
      </c>
      <c r="Y26" s="13"/>
      <c r="Z26" s="12"/>
      <c r="AA26" s="12">
        <f t="shared" si="6"/>
        <v>0</v>
      </c>
      <c r="AB26" s="13"/>
      <c r="AC26" s="12"/>
      <c r="AD26" s="12">
        <f t="shared" si="7"/>
        <v>0</v>
      </c>
      <c r="AE26" s="13"/>
      <c r="AF26" s="12"/>
      <c r="AG26" s="12">
        <f t="shared" si="8"/>
        <v>0</v>
      </c>
      <c r="AH26" s="13"/>
      <c r="AI26" s="12"/>
      <c r="AJ26" s="12">
        <f t="shared" si="9"/>
        <v>0</v>
      </c>
      <c r="AK26" s="13"/>
      <c r="AL26" s="12"/>
      <c r="AM26" s="12">
        <f t="shared" si="10"/>
        <v>0</v>
      </c>
      <c r="AN26" s="13"/>
      <c r="AO26" s="12"/>
      <c r="AP26" s="12">
        <f t="shared" si="11"/>
        <v>0</v>
      </c>
      <c r="AQ26" s="13"/>
      <c r="AR26" s="12"/>
      <c r="AS26" s="12">
        <f t="shared" si="12"/>
        <v>0</v>
      </c>
      <c r="AT26" s="13"/>
      <c r="AU26" s="12"/>
      <c r="AV26" s="12">
        <f t="shared" si="13"/>
        <v>0</v>
      </c>
      <c r="AW26" s="13"/>
      <c r="AX26" s="12"/>
      <c r="AY26" s="12">
        <f t="shared" si="14"/>
        <v>0</v>
      </c>
      <c r="AZ26" s="13"/>
      <c r="BA26" s="12"/>
      <c r="BB26" s="12">
        <f t="shared" si="15"/>
        <v>0</v>
      </c>
      <c r="BC26" s="13"/>
      <c r="BD26" s="12"/>
      <c r="BE26" s="12">
        <f t="shared" si="16"/>
        <v>0</v>
      </c>
      <c r="BF26" s="13"/>
      <c r="BG26" s="12"/>
      <c r="BH26" s="12">
        <f t="shared" si="17"/>
        <v>0</v>
      </c>
      <c r="BI26" s="13"/>
      <c r="BJ26" s="12"/>
      <c r="BK26" s="12">
        <f t="shared" si="18"/>
        <v>0</v>
      </c>
      <c r="BL26" s="13"/>
      <c r="BM26" s="12"/>
      <c r="BN26" s="12">
        <f t="shared" si="19"/>
        <v>0</v>
      </c>
      <c r="BO26" s="13"/>
      <c r="BP26" s="14">
        <f t="shared" si="20"/>
        <v>2</v>
      </c>
      <c r="BQ26" s="14">
        <f t="shared" si="21"/>
        <v>0</v>
      </c>
    </row>
    <row r="27" spans="1:69" ht="32" x14ac:dyDescent="0.2">
      <c r="A27" s="1"/>
      <c r="B27" s="8"/>
      <c r="C27" s="8"/>
      <c r="D27" s="10" t="s">
        <v>69</v>
      </c>
      <c r="E27" s="8" t="s">
        <v>35</v>
      </c>
      <c r="F27" s="22" t="s">
        <v>36</v>
      </c>
      <c r="G27" s="8">
        <v>1</v>
      </c>
      <c r="H27" s="12">
        <v>1</v>
      </c>
      <c r="I27" s="12">
        <f t="shared" si="0"/>
        <v>0</v>
      </c>
      <c r="J27" s="13"/>
      <c r="K27" s="12"/>
      <c r="L27" s="12">
        <f t="shared" si="1"/>
        <v>0</v>
      </c>
      <c r="M27" s="13"/>
      <c r="N27" s="12"/>
      <c r="O27" s="12">
        <f t="shared" si="2"/>
        <v>0</v>
      </c>
      <c r="P27" s="13"/>
      <c r="Q27" s="12"/>
      <c r="R27" s="12">
        <f t="shared" si="3"/>
        <v>0</v>
      </c>
      <c r="S27" s="13"/>
      <c r="T27" s="12"/>
      <c r="U27" s="12">
        <f t="shared" si="4"/>
        <v>0</v>
      </c>
      <c r="V27" s="13"/>
      <c r="W27" s="12"/>
      <c r="X27" s="12">
        <f t="shared" si="5"/>
        <v>0</v>
      </c>
      <c r="Y27" s="13"/>
      <c r="Z27" s="12"/>
      <c r="AA27" s="12">
        <f t="shared" si="6"/>
        <v>0</v>
      </c>
      <c r="AB27" s="13"/>
      <c r="AC27" s="12"/>
      <c r="AD27" s="12">
        <f t="shared" si="7"/>
        <v>0</v>
      </c>
      <c r="AE27" s="13"/>
      <c r="AF27" s="12"/>
      <c r="AG27" s="12">
        <f t="shared" si="8"/>
        <v>0</v>
      </c>
      <c r="AH27" s="13"/>
      <c r="AI27" s="12"/>
      <c r="AJ27" s="12">
        <f t="shared" si="9"/>
        <v>0</v>
      </c>
      <c r="AK27" s="13"/>
      <c r="AL27" s="12"/>
      <c r="AM27" s="12">
        <f t="shared" si="10"/>
        <v>0</v>
      </c>
      <c r="AN27" s="13"/>
      <c r="AO27" s="12"/>
      <c r="AP27" s="12">
        <f t="shared" si="11"/>
        <v>0</v>
      </c>
      <c r="AQ27" s="13"/>
      <c r="AR27" s="12"/>
      <c r="AS27" s="12">
        <f t="shared" si="12"/>
        <v>0</v>
      </c>
      <c r="AT27" s="13"/>
      <c r="AU27" s="12"/>
      <c r="AV27" s="12">
        <f t="shared" si="13"/>
        <v>0</v>
      </c>
      <c r="AW27" s="13"/>
      <c r="AX27" s="12"/>
      <c r="AY27" s="12">
        <f t="shared" si="14"/>
        <v>0</v>
      </c>
      <c r="AZ27" s="13"/>
      <c r="BA27" s="12"/>
      <c r="BB27" s="12">
        <f t="shared" si="15"/>
        <v>0</v>
      </c>
      <c r="BC27" s="13"/>
      <c r="BD27" s="12"/>
      <c r="BE27" s="12">
        <f t="shared" si="16"/>
        <v>0</v>
      </c>
      <c r="BF27" s="13"/>
      <c r="BG27" s="12"/>
      <c r="BH27" s="12">
        <f t="shared" si="17"/>
        <v>0</v>
      </c>
      <c r="BI27" s="13"/>
      <c r="BJ27" s="12"/>
      <c r="BK27" s="12">
        <f t="shared" si="18"/>
        <v>0</v>
      </c>
      <c r="BL27" s="13"/>
      <c r="BM27" s="12"/>
      <c r="BN27" s="12">
        <f t="shared" si="19"/>
        <v>0</v>
      </c>
      <c r="BO27" s="13"/>
      <c r="BP27" s="14">
        <f t="shared" si="20"/>
        <v>1</v>
      </c>
      <c r="BQ27" s="14">
        <f t="shared" si="21"/>
        <v>0</v>
      </c>
    </row>
    <row r="28" spans="1:69" ht="64" x14ac:dyDescent="0.2">
      <c r="A28" s="1"/>
      <c r="B28" s="8" t="s">
        <v>70</v>
      </c>
      <c r="C28" s="9" t="s">
        <v>71</v>
      </c>
      <c r="D28" s="10" t="s">
        <v>72</v>
      </c>
      <c r="E28" s="8" t="s">
        <v>35</v>
      </c>
      <c r="F28" s="22" t="s">
        <v>36</v>
      </c>
      <c r="G28" s="8">
        <v>4</v>
      </c>
      <c r="H28" s="12">
        <v>4</v>
      </c>
      <c r="I28" s="12">
        <f t="shared" si="0"/>
        <v>0</v>
      </c>
      <c r="J28" s="13"/>
      <c r="K28" s="12"/>
      <c r="L28" s="12">
        <f t="shared" si="1"/>
        <v>0</v>
      </c>
      <c r="M28" s="13"/>
      <c r="N28" s="12"/>
      <c r="O28" s="12">
        <f t="shared" si="2"/>
        <v>0</v>
      </c>
      <c r="P28" s="13"/>
      <c r="Q28" s="12"/>
      <c r="R28" s="12">
        <f t="shared" si="3"/>
        <v>0</v>
      </c>
      <c r="S28" s="13"/>
      <c r="T28" s="12"/>
      <c r="U28" s="12">
        <f t="shared" si="4"/>
        <v>0</v>
      </c>
      <c r="V28" s="13"/>
      <c r="W28" s="12"/>
      <c r="X28" s="12">
        <f t="shared" si="5"/>
        <v>0</v>
      </c>
      <c r="Y28" s="13"/>
      <c r="Z28" s="12"/>
      <c r="AA28" s="12">
        <f t="shared" si="6"/>
        <v>0</v>
      </c>
      <c r="AB28" s="13"/>
      <c r="AC28" s="12"/>
      <c r="AD28" s="12">
        <f t="shared" si="7"/>
        <v>0</v>
      </c>
      <c r="AE28" s="13"/>
      <c r="AF28" s="12"/>
      <c r="AG28" s="12">
        <f t="shared" si="8"/>
        <v>0</v>
      </c>
      <c r="AH28" s="13"/>
      <c r="AI28" s="12"/>
      <c r="AJ28" s="12">
        <f t="shared" si="9"/>
        <v>0</v>
      </c>
      <c r="AK28" s="13"/>
      <c r="AL28" s="12"/>
      <c r="AM28" s="12">
        <f t="shared" si="10"/>
        <v>0</v>
      </c>
      <c r="AN28" s="13"/>
      <c r="AO28" s="12"/>
      <c r="AP28" s="12">
        <f t="shared" si="11"/>
        <v>0</v>
      </c>
      <c r="AQ28" s="13"/>
      <c r="AR28" s="12"/>
      <c r="AS28" s="12">
        <f t="shared" si="12"/>
        <v>0</v>
      </c>
      <c r="AT28" s="13"/>
      <c r="AU28" s="12"/>
      <c r="AV28" s="12">
        <f t="shared" si="13"/>
        <v>0</v>
      </c>
      <c r="AW28" s="13"/>
      <c r="AX28" s="12"/>
      <c r="AY28" s="12">
        <f t="shared" si="14"/>
        <v>0</v>
      </c>
      <c r="AZ28" s="13"/>
      <c r="BA28" s="12"/>
      <c r="BB28" s="12">
        <f t="shared" si="15"/>
        <v>0</v>
      </c>
      <c r="BC28" s="13"/>
      <c r="BD28" s="12"/>
      <c r="BE28" s="12">
        <f t="shared" si="16"/>
        <v>0</v>
      </c>
      <c r="BF28" s="13"/>
      <c r="BG28" s="12"/>
      <c r="BH28" s="12">
        <f t="shared" si="17"/>
        <v>0</v>
      </c>
      <c r="BI28" s="13"/>
      <c r="BJ28" s="12"/>
      <c r="BK28" s="12">
        <f t="shared" si="18"/>
        <v>0</v>
      </c>
      <c r="BL28" s="13"/>
      <c r="BM28" s="12"/>
      <c r="BN28" s="12">
        <f t="shared" si="19"/>
        <v>0</v>
      </c>
      <c r="BO28" s="13"/>
      <c r="BP28" s="14">
        <f t="shared" si="20"/>
        <v>4</v>
      </c>
      <c r="BQ28" s="14">
        <f t="shared" si="21"/>
        <v>0</v>
      </c>
    </row>
    <row r="29" spans="1:69" ht="32" x14ac:dyDescent="0.2">
      <c r="A29" s="1"/>
      <c r="B29" s="8"/>
      <c r="C29" s="8"/>
      <c r="D29" s="10" t="s">
        <v>73</v>
      </c>
      <c r="E29" s="8" t="s">
        <v>35</v>
      </c>
      <c r="F29" s="22" t="s">
        <v>36</v>
      </c>
      <c r="G29" s="8">
        <v>2</v>
      </c>
      <c r="H29" s="12">
        <v>2</v>
      </c>
      <c r="I29" s="12">
        <f t="shared" si="0"/>
        <v>0</v>
      </c>
      <c r="J29" s="13"/>
      <c r="K29" s="12"/>
      <c r="L29" s="12">
        <f t="shared" si="1"/>
        <v>0</v>
      </c>
      <c r="M29" s="13"/>
      <c r="N29" s="12"/>
      <c r="O29" s="12">
        <f t="shared" si="2"/>
        <v>0</v>
      </c>
      <c r="P29" s="13"/>
      <c r="Q29" s="12"/>
      <c r="R29" s="12">
        <f t="shared" si="3"/>
        <v>0</v>
      </c>
      <c r="S29" s="13"/>
      <c r="T29" s="12"/>
      <c r="U29" s="12">
        <f t="shared" si="4"/>
        <v>0</v>
      </c>
      <c r="V29" s="13"/>
      <c r="W29" s="12"/>
      <c r="X29" s="12">
        <f t="shared" si="5"/>
        <v>0</v>
      </c>
      <c r="Y29" s="13"/>
      <c r="Z29" s="12"/>
      <c r="AA29" s="12">
        <f t="shared" si="6"/>
        <v>0</v>
      </c>
      <c r="AB29" s="13"/>
      <c r="AC29" s="12"/>
      <c r="AD29" s="12">
        <f t="shared" si="7"/>
        <v>0</v>
      </c>
      <c r="AE29" s="13"/>
      <c r="AF29" s="12"/>
      <c r="AG29" s="12">
        <f t="shared" si="8"/>
        <v>0</v>
      </c>
      <c r="AH29" s="13"/>
      <c r="AI29" s="12"/>
      <c r="AJ29" s="12">
        <f t="shared" si="9"/>
        <v>0</v>
      </c>
      <c r="AK29" s="13"/>
      <c r="AL29" s="12"/>
      <c r="AM29" s="12">
        <f t="shared" si="10"/>
        <v>0</v>
      </c>
      <c r="AN29" s="13"/>
      <c r="AO29" s="12"/>
      <c r="AP29" s="12">
        <f t="shared" si="11"/>
        <v>0</v>
      </c>
      <c r="AQ29" s="13"/>
      <c r="AR29" s="12"/>
      <c r="AS29" s="12">
        <f t="shared" si="12"/>
        <v>0</v>
      </c>
      <c r="AT29" s="13"/>
      <c r="AU29" s="12"/>
      <c r="AV29" s="12">
        <f t="shared" si="13"/>
        <v>0</v>
      </c>
      <c r="AW29" s="13"/>
      <c r="AX29" s="12"/>
      <c r="AY29" s="12">
        <f t="shared" si="14"/>
        <v>0</v>
      </c>
      <c r="AZ29" s="13"/>
      <c r="BA29" s="12"/>
      <c r="BB29" s="12">
        <f t="shared" si="15"/>
        <v>0</v>
      </c>
      <c r="BC29" s="13"/>
      <c r="BD29" s="12"/>
      <c r="BE29" s="12">
        <f t="shared" si="16"/>
        <v>0</v>
      </c>
      <c r="BF29" s="13"/>
      <c r="BG29" s="12"/>
      <c r="BH29" s="12">
        <f t="shared" si="17"/>
        <v>0</v>
      </c>
      <c r="BI29" s="13"/>
      <c r="BJ29" s="12"/>
      <c r="BK29" s="12">
        <f t="shared" si="18"/>
        <v>0</v>
      </c>
      <c r="BL29" s="13"/>
      <c r="BM29" s="12"/>
      <c r="BN29" s="12">
        <f t="shared" si="19"/>
        <v>0</v>
      </c>
      <c r="BO29" s="13"/>
      <c r="BP29" s="14">
        <f t="shared" si="20"/>
        <v>2</v>
      </c>
      <c r="BQ29" s="14">
        <f t="shared" si="21"/>
        <v>0</v>
      </c>
    </row>
    <row r="30" spans="1:69" ht="32" x14ac:dyDescent="0.2">
      <c r="A30" s="1"/>
      <c r="B30" s="8"/>
      <c r="C30" s="8"/>
      <c r="D30" s="10" t="s">
        <v>74</v>
      </c>
      <c r="E30" s="8" t="s">
        <v>35</v>
      </c>
      <c r="F30" s="15" t="s">
        <v>40</v>
      </c>
      <c r="G30" s="8">
        <v>5</v>
      </c>
      <c r="H30" s="12">
        <v>0</v>
      </c>
      <c r="I30" s="12">
        <f t="shared" si="0"/>
        <v>5</v>
      </c>
      <c r="J30" s="13"/>
      <c r="K30" s="12"/>
      <c r="L30" s="12">
        <f t="shared" si="1"/>
        <v>5</v>
      </c>
      <c r="M30" s="13"/>
      <c r="N30" s="12"/>
      <c r="O30" s="12">
        <f t="shared" si="2"/>
        <v>5</v>
      </c>
      <c r="P30" s="13"/>
      <c r="Q30" s="12"/>
      <c r="R30" s="12">
        <f t="shared" si="3"/>
        <v>5</v>
      </c>
      <c r="S30" s="13"/>
      <c r="T30" s="12"/>
      <c r="U30" s="12">
        <f t="shared" si="4"/>
        <v>5</v>
      </c>
      <c r="V30" s="13"/>
      <c r="W30" s="12"/>
      <c r="X30" s="12">
        <f t="shared" si="5"/>
        <v>5</v>
      </c>
      <c r="Y30" s="13"/>
      <c r="Z30" s="12"/>
      <c r="AA30" s="12">
        <f t="shared" si="6"/>
        <v>5</v>
      </c>
      <c r="AB30" s="13"/>
      <c r="AC30" s="12"/>
      <c r="AD30" s="12">
        <f t="shared" si="7"/>
        <v>5</v>
      </c>
      <c r="AE30" s="13"/>
      <c r="AF30" s="12"/>
      <c r="AG30" s="12">
        <f t="shared" si="8"/>
        <v>5</v>
      </c>
      <c r="AH30" s="13"/>
      <c r="AI30" s="12"/>
      <c r="AJ30" s="12">
        <f t="shared" si="9"/>
        <v>5</v>
      </c>
      <c r="AK30" s="13"/>
      <c r="AL30" s="12"/>
      <c r="AM30" s="12">
        <f t="shared" si="10"/>
        <v>5</v>
      </c>
      <c r="AN30" s="13"/>
      <c r="AO30" s="12"/>
      <c r="AP30" s="12">
        <f t="shared" si="11"/>
        <v>5</v>
      </c>
      <c r="AQ30" s="13"/>
      <c r="AR30" s="12"/>
      <c r="AS30" s="12">
        <f t="shared" si="12"/>
        <v>5</v>
      </c>
      <c r="AT30" s="13"/>
      <c r="AU30" s="12"/>
      <c r="AV30" s="12">
        <f t="shared" si="13"/>
        <v>5</v>
      </c>
      <c r="AW30" s="13"/>
      <c r="AX30" s="12"/>
      <c r="AY30" s="12">
        <f t="shared" si="14"/>
        <v>5</v>
      </c>
      <c r="AZ30" s="13"/>
      <c r="BA30" s="12"/>
      <c r="BB30" s="12">
        <f t="shared" si="15"/>
        <v>5</v>
      </c>
      <c r="BC30" s="13"/>
      <c r="BD30" s="12"/>
      <c r="BE30" s="12">
        <f t="shared" si="16"/>
        <v>5</v>
      </c>
      <c r="BF30" s="13"/>
      <c r="BG30" s="12"/>
      <c r="BH30" s="12">
        <f t="shared" si="17"/>
        <v>5</v>
      </c>
      <c r="BI30" s="13"/>
      <c r="BJ30" s="12"/>
      <c r="BK30" s="12">
        <f t="shared" si="18"/>
        <v>5</v>
      </c>
      <c r="BL30" s="13"/>
      <c r="BM30" s="12"/>
      <c r="BN30" s="12">
        <f t="shared" si="19"/>
        <v>5</v>
      </c>
      <c r="BO30" s="13"/>
      <c r="BP30" s="14">
        <f t="shared" si="20"/>
        <v>0</v>
      </c>
      <c r="BQ30" s="14">
        <f t="shared" si="21"/>
        <v>5</v>
      </c>
    </row>
    <row r="31" spans="1:69" ht="32" x14ac:dyDescent="0.2">
      <c r="A31" s="1"/>
      <c r="B31" s="8"/>
      <c r="C31" s="8"/>
      <c r="D31" s="10" t="s">
        <v>75</v>
      </c>
      <c r="E31" s="8" t="s">
        <v>35</v>
      </c>
      <c r="F31" s="22" t="s">
        <v>36</v>
      </c>
      <c r="G31" s="8">
        <v>2</v>
      </c>
      <c r="H31" s="12">
        <v>2</v>
      </c>
      <c r="I31" s="12">
        <f t="shared" si="0"/>
        <v>0</v>
      </c>
      <c r="J31" s="13"/>
      <c r="K31" s="12"/>
      <c r="L31" s="12">
        <f t="shared" si="1"/>
        <v>0</v>
      </c>
      <c r="M31" s="13"/>
      <c r="N31" s="12"/>
      <c r="O31" s="12">
        <f t="shared" si="2"/>
        <v>0</v>
      </c>
      <c r="P31" s="13"/>
      <c r="Q31" s="12"/>
      <c r="R31" s="12">
        <f t="shared" si="3"/>
        <v>0</v>
      </c>
      <c r="S31" s="13"/>
      <c r="T31" s="12"/>
      <c r="U31" s="12">
        <f t="shared" si="4"/>
        <v>0</v>
      </c>
      <c r="V31" s="13"/>
      <c r="W31" s="12"/>
      <c r="X31" s="12">
        <f t="shared" si="5"/>
        <v>0</v>
      </c>
      <c r="Y31" s="13"/>
      <c r="Z31" s="12"/>
      <c r="AA31" s="12">
        <f t="shared" si="6"/>
        <v>0</v>
      </c>
      <c r="AB31" s="13"/>
      <c r="AC31" s="12"/>
      <c r="AD31" s="12">
        <f t="shared" si="7"/>
        <v>0</v>
      </c>
      <c r="AE31" s="13"/>
      <c r="AF31" s="12"/>
      <c r="AG31" s="12">
        <f t="shared" si="8"/>
        <v>0</v>
      </c>
      <c r="AH31" s="13"/>
      <c r="AI31" s="12"/>
      <c r="AJ31" s="12">
        <f t="shared" si="9"/>
        <v>0</v>
      </c>
      <c r="AK31" s="13"/>
      <c r="AL31" s="12"/>
      <c r="AM31" s="12">
        <f t="shared" si="10"/>
        <v>0</v>
      </c>
      <c r="AN31" s="13"/>
      <c r="AO31" s="12"/>
      <c r="AP31" s="12">
        <f t="shared" si="11"/>
        <v>0</v>
      </c>
      <c r="AQ31" s="13"/>
      <c r="AR31" s="12"/>
      <c r="AS31" s="12">
        <f t="shared" si="12"/>
        <v>0</v>
      </c>
      <c r="AT31" s="13"/>
      <c r="AU31" s="12"/>
      <c r="AV31" s="12">
        <f t="shared" si="13"/>
        <v>0</v>
      </c>
      <c r="AW31" s="13"/>
      <c r="AX31" s="12"/>
      <c r="AY31" s="12">
        <f t="shared" si="14"/>
        <v>0</v>
      </c>
      <c r="AZ31" s="13"/>
      <c r="BA31" s="12"/>
      <c r="BB31" s="12">
        <f t="shared" si="15"/>
        <v>0</v>
      </c>
      <c r="BC31" s="13"/>
      <c r="BD31" s="12"/>
      <c r="BE31" s="12">
        <f t="shared" si="16"/>
        <v>0</v>
      </c>
      <c r="BF31" s="13"/>
      <c r="BG31" s="12"/>
      <c r="BH31" s="12">
        <f t="shared" si="17"/>
        <v>0</v>
      </c>
      <c r="BI31" s="13"/>
      <c r="BJ31" s="12"/>
      <c r="BK31" s="12">
        <f t="shared" si="18"/>
        <v>0</v>
      </c>
      <c r="BL31" s="13"/>
      <c r="BM31" s="12"/>
      <c r="BN31" s="12">
        <f t="shared" si="19"/>
        <v>0</v>
      </c>
      <c r="BO31" s="13"/>
      <c r="BP31" s="14">
        <f t="shared" si="20"/>
        <v>2</v>
      </c>
      <c r="BQ31" s="14">
        <f t="shared" si="21"/>
        <v>0</v>
      </c>
    </row>
    <row r="32" spans="1:69" ht="64" x14ac:dyDescent="0.2">
      <c r="A32" s="1"/>
      <c r="B32" s="8" t="s">
        <v>76</v>
      </c>
      <c r="C32" s="9" t="s">
        <v>77</v>
      </c>
      <c r="D32" s="10" t="s">
        <v>78</v>
      </c>
      <c r="E32" s="8" t="s">
        <v>35</v>
      </c>
      <c r="F32" s="22" t="s">
        <v>36</v>
      </c>
      <c r="G32" s="8">
        <v>2</v>
      </c>
      <c r="H32" s="12">
        <v>2</v>
      </c>
      <c r="I32" s="12">
        <f t="shared" si="0"/>
        <v>0</v>
      </c>
      <c r="J32" s="13"/>
      <c r="K32" s="12"/>
      <c r="L32" s="12">
        <f t="shared" si="1"/>
        <v>0</v>
      </c>
      <c r="M32" s="13"/>
      <c r="N32" s="12"/>
      <c r="O32" s="12">
        <f t="shared" si="2"/>
        <v>0</v>
      </c>
      <c r="P32" s="13"/>
      <c r="Q32" s="12"/>
      <c r="R32" s="12">
        <f t="shared" si="3"/>
        <v>0</v>
      </c>
      <c r="S32" s="13"/>
      <c r="T32" s="12"/>
      <c r="U32" s="12">
        <f t="shared" si="4"/>
        <v>0</v>
      </c>
      <c r="V32" s="13"/>
      <c r="W32" s="12"/>
      <c r="X32" s="12">
        <f t="shared" si="5"/>
        <v>0</v>
      </c>
      <c r="Y32" s="13"/>
      <c r="Z32" s="12"/>
      <c r="AA32" s="12">
        <f t="shared" si="6"/>
        <v>0</v>
      </c>
      <c r="AB32" s="13"/>
      <c r="AC32" s="12"/>
      <c r="AD32" s="12">
        <f t="shared" si="7"/>
        <v>0</v>
      </c>
      <c r="AE32" s="13"/>
      <c r="AF32" s="12"/>
      <c r="AG32" s="12">
        <f t="shared" si="8"/>
        <v>0</v>
      </c>
      <c r="AH32" s="13"/>
      <c r="AI32" s="12"/>
      <c r="AJ32" s="12">
        <f t="shared" si="9"/>
        <v>0</v>
      </c>
      <c r="AK32" s="13"/>
      <c r="AL32" s="12"/>
      <c r="AM32" s="12">
        <f t="shared" si="10"/>
        <v>0</v>
      </c>
      <c r="AN32" s="13"/>
      <c r="AO32" s="12"/>
      <c r="AP32" s="12">
        <f t="shared" si="11"/>
        <v>0</v>
      </c>
      <c r="AQ32" s="13"/>
      <c r="AR32" s="12"/>
      <c r="AS32" s="12">
        <f t="shared" si="12"/>
        <v>0</v>
      </c>
      <c r="AT32" s="13"/>
      <c r="AU32" s="12"/>
      <c r="AV32" s="12">
        <f t="shared" si="13"/>
        <v>0</v>
      </c>
      <c r="AW32" s="13"/>
      <c r="AX32" s="12"/>
      <c r="AY32" s="12">
        <f t="shared" si="14"/>
        <v>0</v>
      </c>
      <c r="AZ32" s="13"/>
      <c r="BA32" s="12"/>
      <c r="BB32" s="12">
        <f t="shared" si="15"/>
        <v>0</v>
      </c>
      <c r="BC32" s="13"/>
      <c r="BD32" s="12"/>
      <c r="BE32" s="12">
        <f t="shared" si="16"/>
        <v>0</v>
      </c>
      <c r="BF32" s="13"/>
      <c r="BG32" s="12"/>
      <c r="BH32" s="12">
        <f t="shared" si="17"/>
        <v>0</v>
      </c>
      <c r="BI32" s="13"/>
      <c r="BJ32" s="12"/>
      <c r="BK32" s="12">
        <f t="shared" si="18"/>
        <v>0</v>
      </c>
      <c r="BL32" s="13"/>
      <c r="BM32" s="12"/>
      <c r="BN32" s="12">
        <f t="shared" si="19"/>
        <v>0</v>
      </c>
      <c r="BO32" s="13"/>
      <c r="BP32" s="14">
        <f t="shared" si="20"/>
        <v>2</v>
      </c>
      <c r="BQ32" s="14">
        <f t="shared" si="21"/>
        <v>0</v>
      </c>
    </row>
    <row r="33" spans="1:69" ht="32" x14ac:dyDescent="0.2">
      <c r="A33" s="1"/>
      <c r="B33" s="8"/>
      <c r="C33" s="8"/>
      <c r="D33" s="10" t="s">
        <v>79</v>
      </c>
      <c r="E33" s="8" t="s">
        <v>35</v>
      </c>
      <c r="F33" s="22" t="s">
        <v>36</v>
      </c>
      <c r="G33" s="8">
        <v>3</v>
      </c>
      <c r="H33" s="12">
        <v>3</v>
      </c>
      <c r="I33" s="12">
        <f t="shared" si="0"/>
        <v>0</v>
      </c>
      <c r="J33" s="13"/>
      <c r="K33" s="12"/>
      <c r="L33" s="12">
        <f t="shared" si="1"/>
        <v>0</v>
      </c>
      <c r="M33" s="13"/>
      <c r="N33" s="12"/>
      <c r="O33" s="12">
        <f t="shared" si="2"/>
        <v>0</v>
      </c>
      <c r="P33" s="13"/>
      <c r="Q33" s="12"/>
      <c r="R33" s="12">
        <f t="shared" si="3"/>
        <v>0</v>
      </c>
      <c r="S33" s="13"/>
      <c r="T33" s="12"/>
      <c r="U33" s="12">
        <f t="shared" si="4"/>
        <v>0</v>
      </c>
      <c r="V33" s="13"/>
      <c r="W33" s="12"/>
      <c r="X33" s="12">
        <f t="shared" si="5"/>
        <v>0</v>
      </c>
      <c r="Y33" s="13"/>
      <c r="Z33" s="12"/>
      <c r="AA33" s="12">
        <f t="shared" si="6"/>
        <v>0</v>
      </c>
      <c r="AB33" s="13"/>
      <c r="AC33" s="12"/>
      <c r="AD33" s="12">
        <f t="shared" si="7"/>
        <v>0</v>
      </c>
      <c r="AE33" s="13"/>
      <c r="AF33" s="12"/>
      <c r="AG33" s="12">
        <f t="shared" si="8"/>
        <v>0</v>
      </c>
      <c r="AH33" s="13"/>
      <c r="AI33" s="12"/>
      <c r="AJ33" s="12">
        <f t="shared" si="9"/>
        <v>0</v>
      </c>
      <c r="AK33" s="13"/>
      <c r="AL33" s="12"/>
      <c r="AM33" s="12">
        <f t="shared" si="10"/>
        <v>0</v>
      </c>
      <c r="AN33" s="13"/>
      <c r="AO33" s="12"/>
      <c r="AP33" s="12">
        <f t="shared" si="11"/>
        <v>0</v>
      </c>
      <c r="AQ33" s="13"/>
      <c r="AR33" s="12"/>
      <c r="AS33" s="12">
        <f t="shared" si="12"/>
        <v>0</v>
      </c>
      <c r="AT33" s="13"/>
      <c r="AU33" s="12"/>
      <c r="AV33" s="12">
        <f t="shared" si="13"/>
        <v>0</v>
      </c>
      <c r="AW33" s="13"/>
      <c r="AX33" s="12"/>
      <c r="AY33" s="12">
        <f t="shared" si="14"/>
        <v>0</v>
      </c>
      <c r="AZ33" s="13"/>
      <c r="BA33" s="12"/>
      <c r="BB33" s="12">
        <f t="shared" si="15"/>
        <v>0</v>
      </c>
      <c r="BC33" s="13"/>
      <c r="BD33" s="12"/>
      <c r="BE33" s="12">
        <f t="shared" si="16"/>
        <v>0</v>
      </c>
      <c r="BF33" s="13"/>
      <c r="BG33" s="12"/>
      <c r="BH33" s="12">
        <f t="shared" si="17"/>
        <v>0</v>
      </c>
      <c r="BI33" s="13"/>
      <c r="BJ33" s="12"/>
      <c r="BK33" s="12">
        <f t="shared" si="18"/>
        <v>0</v>
      </c>
      <c r="BL33" s="13"/>
      <c r="BM33" s="12"/>
      <c r="BN33" s="12">
        <f t="shared" si="19"/>
        <v>0</v>
      </c>
      <c r="BO33" s="13"/>
      <c r="BP33" s="14">
        <f t="shared" si="20"/>
        <v>3</v>
      </c>
      <c r="BQ33" s="14">
        <f t="shared" si="21"/>
        <v>0</v>
      </c>
    </row>
    <row r="34" spans="1:69" ht="32" x14ac:dyDescent="0.2">
      <c r="A34" s="1"/>
      <c r="B34" s="8"/>
      <c r="C34" s="8"/>
      <c r="D34" s="10" t="s">
        <v>81</v>
      </c>
      <c r="E34" s="8" t="s">
        <v>35</v>
      </c>
      <c r="F34" s="22" t="s">
        <v>36</v>
      </c>
      <c r="G34" s="8">
        <v>3</v>
      </c>
      <c r="H34" s="12">
        <v>3</v>
      </c>
      <c r="I34" s="12">
        <f t="shared" si="0"/>
        <v>0</v>
      </c>
      <c r="J34" s="13"/>
      <c r="K34" s="12"/>
      <c r="L34" s="12">
        <f t="shared" si="1"/>
        <v>0</v>
      </c>
      <c r="M34" s="13"/>
      <c r="N34" s="12"/>
      <c r="O34" s="12">
        <f t="shared" si="2"/>
        <v>0</v>
      </c>
      <c r="P34" s="13"/>
      <c r="Q34" s="12"/>
      <c r="R34" s="12">
        <f t="shared" si="3"/>
        <v>0</v>
      </c>
      <c r="S34" s="13"/>
      <c r="T34" s="12"/>
      <c r="U34" s="12">
        <f t="shared" si="4"/>
        <v>0</v>
      </c>
      <c r="V34" s="13"/>
      <c r="W34" s="12"/>
      <c r="X34" s="12">
        <f t="shared" si="5"/>
        <v>0</v>
      </c>
      <c r="Y34" s="13"/>
      <c r="Z34" s="12"/>
      <c r="AA34" s="12">
        <f t="shared" si="6"/>
        <v>0</v>
      </c>
      <c r="AB34" s="13"/>
      <c r="AC34" s="12"/>
      <c r="AD34" s="12">
        <f t="shared" si="7"/>
        <v>0</v>
      </c>
      <c r="AE34" s="13"/>
      <c r="AF34" s="12"/>
      <c r="AG34" s="12">
        <f t="shared" si="8"/>
        <v>0</v>
      </c>
      <c r="AH34" s="13"/>
      <c r="AI34" s="12"/>
      <c r="AJ34" s="12">
        <f t="shared" si="9"/>
        <v>0</v>
      </c>
      <c r="AK34" s="13"/>
      <c r="AL34" s="12"/>
      <c r="AM34" s="12">
        <f t="shared" si="10"/>
        <v>0</v>
      </c>
      <c r="AN34" s="13"/>
      <c r="AO34" s="12"/>
      <c r="AP34" s="12">
        <f t="shared" si="11"/>
        <v>0</v>
      </c>
      <c r="AQ34" s="13"/>
      <c r="AR34" s="12"/>
      <c r="AS34" s="12">
        <f t="shared" si="12"/>
        <v>0</v>
      </c>
      <c r="AT34" s="13"/>
      <c r="AU34" s="12"/>
      <c r="AV34" s="12">
        <f t="shared" si="13"/>
        <v>0</v>
      </c>
      <c r="AW34" s="13"/>
      <c r="AX34" s="12"/>
      <c r="AY34" s="12">
        <f t="shared" si="14"/>
        <v>0</v>
      </c>
      <c r="AZ34" s="13"/>
      <c r="BA34" s="12"/>
      <c r="BB34" s="12">
        <f t="shared" si="15"/>
        <v>0</v>
      </c>
      <c r="BC34" s="13"/>
      <c r="BD34" s="12"/>
      <c r="BE34" s="12">
        <f t="shared" si="16"/>
        <v>0</v>
      </c>
      <c r="BF34" s="13"/>
      <c r="BG34" s="12"/>
      <c r="BH34" s="12">
        <f t="shared" si="17"/>
        <v>0</v>
      </c>
      <c r="BI34" s="13"/>
      <c r="BJ34" s="12"/>
      <c r="BK34" s="12">
        <f t="shared" si="18"/>
        <v>0</v>
      </c>
      <c r="BL34" s="13"/>
      <c r="BM34" s="12"/>
      <c r="BN34" s="12">
        <f t="shared" si="19"/>
        <v>0</v>
      </c>
      <c r="BO34" s="13"/>
      <c r="BP34" s="14">
        <f t="shared" si="20"/>
        <v>3</v>
      </c>
      <c r="BQ34" s="14">
        <f t="shared" si="21"/>
        <v>0</v>
      </c>
    </row>
    <row r="35" spans="1:69" ht="80" x14ac:dyDescent="0.2">
      <c r="A35" s="1"/>
      <c r="B35" s="8" t="s">
        <v>82</v>
      </c>
      <c r="C35" s="9" t="s">
        <v>83</v>
      </c>
      <c r="D35" s="10" t="s">
        <v>84</v>
      </c>
      <c r="E35" s="8" t="s">
        <v>35</v>
      </c>
      <c r="F35" s="15" t="s">
        <v>40</v>
      </c>
      <c r="G35" s="8">
        <v>2</v>
      </c>
      <c r="H35" s="12">
        <v>0</v>
      </c>
      <c r="I35" s="12">
        <f t="shared" si="0"/>
        <v>2</v>
      </c>
      <c r="J35" s="13"/>
      <c r="K35" s="12"/>
      <c r="L35" s="12">
        <f t="shared" si="1"/>
        <v>2</v>
      </c>
      <c r="M35" s="13"/>
      <c r="N35" s="12"/>
      <c r="O35" s="12">
        <f t="shared" si="2"/>
        <v>2</v>
      </c>
      <c r="P35" s="13"/>
      <c r="Q35" s="12"/>
      <c r="R35" s="12">
        <f t="shared" si="3"/>
        <v>2</v>
      </c>
      <c r="S35" s="13"/>
      <c r="T35" s="12"/>
      <c r="U35" s="12">
        <f t="shared" si="4"/>
        <v>2</v>
      </c>
      <c r="V35" s="13"/>
      <c r="W35" s="12"/>
      <c r="X35" s="12">
        <f t="shared" si="5"/>
        <v>2</v>
      </c>
      <c r="Y35" s="13"/>
      <c r="Z35" s="12"/>
      <c r="AA35" s="12">
        <f t="shared" si="6"/>
        <v>2</v>
      </c>
      <c r="AB35" s="13"/>
      <c r="AC35" s="12"/>
      <c r="AD35" s="12">
        <f t="shared" si="7"/>
        <v>2</v>
      </c>
      <c r="AE35" s="13"/>
      <c r="AF35" s="12"/>
      <c r="AG35" s="12">
        <f t="shared" si="8"/>
        <v>2</v>
      </c>
      <c r="AH35" s="13"/>
      <c r="AI35" s="12"/>
      <c r="AJ35" s="12">
        <f t="shared" si="9"/>
        <v>2</v>
      </c>
      <c r="AK35" s="13"/>
      <c r="AL35" s="12"/>
      <c r="AM35" s="12">
        <f t="shared" si="10"/>
        <v>2</v>
      </c>
      <c r="AN35" s="13"/>
      <c r="AO35" s="12"/>
      <c r="AP35" s="12">
        <f t="shared" si="11"/>
        <v>2</v>
      </c>
      <c r="AQ35" s="13"/>
      <c r="AR35" s="12"/>
      <c r="AS35" s="12">
        <f t="shared" si="12"/>
        <v>2</v>
      </c>
      <c r="AT35" s="13"/>
      <c r="AU35" s="12"/>
      <c r="AV35" s="12">
        <f t="shared" si="13"/>
        <v>2</v>
      </c>
      <c r="AW35" s="13"/>
      <c r="AX35" s="12"/>
      <c r="AY35" s="12">
        <f t="shared" si="14"/>
        <v>2</v>
      </c>
      <c r="AZ35" s="13"/>
      <c r="BA35" s="12"/>
      <c r="BB35" s="12">
        <f t="shared" si="15"/>
        <v>2</v>
      </c>
      <c r="BC35" s="13"/>
      <c r="BD35" s="12"/>
      <c r="BE35" s="12">
        <f t="shared" si="16"/>
        <v>2</v>
      </c>
      <c r="BF35" s="13"/>
      <c r="BG35" s="12"/>
      <c r="BH35" s="12">
        <f t="shared" si="17"/>
        <v>2</v>
      </c>
      <c r="BI35" s="13"/>
      <c r="BJ35" s="12"/>
      <c r="BK35" s="12">
        <f t="shared" si="18"/>
        <v>2</v>
      </c>
      <c r="BL35" s="13"/>
      <c r="BM35" s="12"/>
      <c r="BN35" s="12">
        <f t="shared" si="19"/>
        <v>2</v>
      </c>
      <c r="BO35" s="13"/>
      <c r="BP35" s="14">
        <f t="shared" si="20"/>
        <v>0</v>
      </c>
      <c r="BQ35" s="14">
        <f t="shared" si="21"/>
        <v>2</v>
      </c>
    </row>
    <row r="36" spans="1:69" ht="48" x14ac:dyDescent="0.2">
      <c r="A36" s="1"/>
      <c r="B36" s="8"/>
      <c r="C36" s="8"/>
      <c r="D36" s="10" t="s">
        <v>85</v>
      </c>
      <c r="E36" s="8" t="s">
        <v>35</v>
      </c>
      <c r="F36" s="15" t="s">
        <v>40</v>
      </c>
      <c r="G36" s="8">
        <v>2</v>
      </c>
      <c r="H36" s="12">
        <v>0</v>
      </c>
      <c r="I36" s="12">
        <f t="shared" si="0"/>
        <v>2</v>
      </c>
      <c r="J36" s="13"/>
      <c r="K36" s="12"/>
      <c r="L36" s="12">
        <f t="shared" si="1"/>
        <v>2</v>
      </c>
      <c r="M36" s="13"/>
      <c r="N36" s="12"/>
      <c r="O36" s="12">
        <f t="shared" si="2"/>
        <v>2</v>
      </c>
      <c r="P36" s="13"/>
      <c r="Q36" s="12"/>
      <c r="R36" s="12">
        <f t="shared" si="3"/>
        <v>2</v>
      </c>
      <c r="S36" s="13"/>
      <c r="T36" s="12"/>
      <c r="U36" s="12">
        <f t="shared" si="4"/>
        <v>2</v>
      </c>
      <c r="V36" s="13"/>
      <c r="W36" s="12"/>
      <c r="X36" s="12">
        <f t="shared" si="5"/>
        <v>2</v>
      </c>
      <c r="Y36" s="13"/>
      <c r="Z36" s="12"/>
      <c r="AA36" s="12">
        <f t="shared" si="6"/>
        <v>2</v>
      </c>
      <c r="AB36" s="13"/>
      <c r="AC36" s="12"/>
      <c r="AD36" s="12">
        <f t="shared" si="7"/>
        <v>2</v>
      </c>
      <c r="AE36" s="13"/>
      <c r="AF36" s="12"/>
      <c r="AG36" s="12">
        <f t="shared" si="8"/>
        <v>2</v>
      </c>
      <c r="AH36" s="13"/>
      <c r="AI36" s="12"/>
      <c r="AJ36" s="12">
        <f t="shared" si="9"/>
        <v>2</v>
      </c>
      <c r="AK36" s="13"/>
      <c r="AL36" s="12"/>
      <c r="AM36" s="12">
        <f t="shared" si="10"/>
        <v>2</v>
      </c>
      <c r="AN36" s="13"/>
      <c r="AO36" s="12"/>
      <c r="AP36" s="12">
        <f t="shared" si="11"/>
        <v>2</v>
      </c>
      <c r="AQ36" s="13"/>
      <c r="AR36" s="12"/>
      <c r="AS36" s="12">
        <f t="shared" si="12"/>
        <v>2</v>
      </c>
      <c r="AT36" s="13"/>
      <c r="AU36" s="12"/>
      <c r="AV36" s="12">
        <f t="shared" si="13"/>
        <v>2</v>
      </c>
      <c r="AW36" s="13"/>
      <c r="AX36" s="12"/>
      <c r="AY36" s="12">
        <f t="shared" si="14"/>
        <v>2</v>
      </c>
      <c r="AZ36" s="13"/>
      <c r="BA36" s="12"/>
      <c r="BB36" s="12">
        <f t="shared" si="15"/>
        <v>2</v>
      </c>
      <c r="BC36" s="13"/>
      <c r="BD36" s="12"/>
      <c r="BE36" s="12">
        <f t="shared" si="16"/>
        <v>2</v>
      </c>
      <c r="BF36" s="13"/>
      <c r="BG36" s="12"/>
      <c r="BH36" s="12">
        <f t="shared" si="17"/>
        <v>2</v>
      </c>
      <c r="BI36" s="13"/>
      <c r="BJ36" s="12"/>
      <c r="BK36" s="12">
        <f t="shared" si="18"/>
        <v>2</v>
      </c>
      <c r="BL36" s="13"/>
      <c r="BM36" s="12"/>
      <c r="BN36" s="12">
        <f t="shared" si="19"/>
        <v>2</v>
      </c>
      <c r="BO36" s="13"/>
      <c r="BP36" s="14">
        <f t="shared" si="20"/>
        <v>0</v>
      </c>
      <c r="BQ36" s="14">
        <f t="shared" si="21"/>
        <v>2</v>
      </c>
    </row>
    <row r="37" spans="1:69" ht="48" x14ac:dyDescent="0.2">
      <c r="A37" s="1"/>
      <c r="B37" s="8"/>
      <c r="C37" s="8"/>
      <c r="D37" s="10" t="s">
        <v>86</v>
      </c>
      <c r="E37" s="8" t="s">
        <v>35</v>
      </c>
      <c r="F37" s="15" t="s">
        <v>40</v>
      </c>
      <c r="G37" s="8">
        <v>4</v>
      </c>
      <c r="H37" s="12">
        <v>0</v>
      </c>
      <c r="I37" s="12">
        <f t="shared" si="0"/>
        <v>4</v>
      </c>
      <c r="J37" s="13"/>
      <c r="K37" s="12"/>
      <c r="L37" s="12">
        <f t="shared" si="1"/>
        <v>4</v>
      </c>
      <c r="M37" s="13"/>
      <c r="N37" s="12"/>
      <c r="O37" s="12">
        <f t="shared" si="2"/>
        <v>4</v>
      </c>
      <c r="P37" s="13"/>
      <c r="Q37" s="12"/>
      <c r="R37" s="12">
        <f t="shared" si="3"/>
        <v>4</v>
      </c>
      <c r="S37" s="13"/>
      <c r="T37" s="12"/>
      <c r="U37" s="12">
        <f t="shared" si="4"/>
        <v>4</v>
      </c>
      <c r="V37" s="13"/>
      <c r="W37" s="12"/>
      <c r="X37" s="12">
        <f t="shared" si="5"/>
        <v>4</v>
      </c>
      <c r="Y37" s="13"/>
      <c r="Z37" s="12"/>
      <c r="AA37" s="12">
        <f t="shared" si="6"/>
        <v>4</v>
      </c>
      <c r="AB37" s="13"/>
      <c r="AC37" s="12"/>
      <c r="AD37" s="12">
        <f t="shared" si="7"/>
        <v>4</v>
      </c>
      <c r="AE37" s="13"/>
      <c r="AF37" s="12"/>
      <c r="AG37" s="12">
        <f t="shared" si="8"/>
        <v>4</v>
      </c>
      <c r="AH37" s="13"/>
      <c r="AI37" s="12"/>
      <c r="AJ37" s="12">
        <f t="shared" si="9"/>
        <v>4</v>
      </c>
      <c r="AK37" s="13"/>
      <c r="AL37" s="12"/>
      <c r="AM37" s="12">
        <f t="shared" si="10"/>
        <v>4</v>
      </c>
      <c r="AN37" s="13"/>
      <c r="AO37" s="12"/>
      <c r="AP37" s="12">
        <f t="shared" si="11"/>
        <v>4</v>
      </c>
      <c r="AQ37" s="13"/>
      <c r="AR37" s="12"/>
      <c r="AS37" s="12">
        <f t="shared" si="12"/>
        <v>4</v>
      </c>
      <c r="AT37" s="13"/>
      <c r="AU37" s="12"/>
      <c r="AV37" s="12">
        <f t="shared" si="13"/>
        <v>4</v>
      </c>
      <c r="AW37" s="13"/>
      <c r="AX37" s="12"/>
      <c r="AY37" s="12">
        <f t="shared" si="14"/>
        <v>4</v>
      </c>
      <c r="AZ37" s="13"/>
      <c r="BA37" s="12"/>
      <c r="BB37" s="12">
        <f t="shared" si="15"/>
        <v>4</v>
      </c>
      <c r="BC37" s="13"/>
      <c r="BD37" s="12"/>
      <c r="BE37" s="12">
        <f t="shared" si="16"/>
        <v>4</v>
      </c>
      <c r="BF37" s="13"/>
      <c r="BG37" s="12"/>
      <c r="BH37" s="12">
        <f t="shared" si="17"/>
        <v>4</v>
      </c>
      <c r="BI37" s="13"/>
      <c r="BJ37" s="12"/>
      <c r="BK37" s="12">
        <f t="shared" si="18"/>
        <v>4</v>
      </c>
      <c r="BL37" s="13"/>
      <c r="BM37" s="12"/>
      <c r="BN37" s="12">
        <f t="shared" si="19"/>
        <v>4</v>
      </c>
      <c r="BO37" s="13"/>
      <c r="BP37" s="14">
        <f t="shared" si="20"/>
        <v>0</v>
      </c>
      <c r="BQ37" s="14">
        <f t="shared" si="21"/>
        <v>4</v>
      </c>
    </row>
    <row r="38" spans="1:69" ht="32" x14ac:dyDescent="0.2">
      <c r="A38" s="1"/>
      <c r="B38" s="8"/>
      <c r="C38" s="8"/>
      <c r="D38" s="10" t="s">
        <v>87</v>
      </c>
      <c r="E38" s="8" t="s">
        <v>35</v>
      </c>
      <c r="F38" s="15" t="s">
        <v>40</v>
      </c>
      <c r="G38" s="8">
        <v>3</v>
      </c>
      <c r="H38" s="12">
        <v>0</v>
      </c>
      <c r="I38" s="12">
        <f t="shared" si="0"/>
        <v>3</v>
      </c>
      <c r="J38" s="13"/>
      <c r="K38" s="12"/>
      <c r="L38" s="12">
        <f t="shared" si="1"/>
        <v>3</v>
      </c>
      <c r="M38" s="13"/>
      <c r="N38" s="12"/>
      <c r="O38" s="12">
        <f t="shared" si="2"/>
        <v>3</v>
      </c>
      <c r="P38" s="13"/>
      <c r="Q38" s="12"/>
      <c r="R38" s="12">
        <f t="shared" si="3"/>
        <v>3</v>
      </c>
      <c r="S38" s="13"/>
      <c r="T38" s="12"/>
      <c r="U38" s="12">
        <f t="shared" si="4"/>
        <v>3</v>
      </c>
      <c r="V38" s="13"/>
      <c r="W38" s="12"/>
      <c r="X38" s="12">
        <f t="shared" si="5"/>
        <v>3</v>
      </c>
      <c r="Y38" s="13"/>
      <c r="Z38" s="12"/>
      <c r="AA38" s="12">
        <f t="shared" si="6"/>
        <v>3</v>
      </c>
      <c r="AB38" s="13"/>
      <c r="AC38" s="12"/>
      <c r="AD38" s="12">
        <f t="shared" si="7"/>
        <v>3</v>
      </c>
      <c r="AE38" s="13"/>
      <c r="AF38" s="12"/>
      <c r="AG38" s="12">
        <f t="shared" si="8"/>
        <v>3</v>
      </c>
      <c r="AH38" s="13"/>
      <c r="AI38" s="12"/>
      <c r="AJ38" s="12">
        <f t="shared" si="9"/>
        <v>3</v>
      </c>
      <c r="AK38" s="13"/>
      <c r="AL38" s="12"/>
      <c r="AM38" s="12">
        <f t="shared" si="10"/>
        <v>3</v>
      </c>
      <c r="AN38" s="13"/>
      <c r="AO38" s="12"/>
      <c r="AP38" s="12">
        <f t="shared" si="11"/>
        <v>3</v>
      </c>
      <c r="AQ38" s="13"/>
      <c r="AR38" s="12"/>
      <c r="AS38" s="12">
        <f t="shared" si="12"/>
        <v>3</v>
      </c>
      <c r="AT38" s="13"/>
      <c r="AU38" s="12"/>
      <c r="AV38" s="12">
        <f t="shared" si="13"/>
        <v>3</v>
      </c>
      <c r="AW38" s="13"/>
      <c r="AX38" s="12"/>
      <c r="AY38" s="12">
        <f t="shared" si="14"/>
        <v>3</v>
      </c>
      <c r="AZ38" s="13"/>
      <c r="BA38" s="12"/>
      <c r="BB38" s="12">
        <f t="shared" si="15"/>
        <v>3</v>
      </c>
      <c r="BC38" s="13"/>
      <c r="BD38" s="12"/>
      <c r="BE38" s="12">
        <f t="shared" si="16"/>
        <v>3</v>
      </c>
      <c r="BF38" s="13"/>
      <c r="BG38" s="12"/>
      <c r="BH38" s="12">
        <f t="shared" si="17"/>
        <v>3</v>
      </c>
      <c r="BI38" s="13"/>
      <c r="BJ38" s="12"/>
      <c r="BK38" s="12">
        <f t="shared" si="18"/>
        <v>3</v>
      </c>
      <c r="BL38" s="13"/>
      <c r="BM38" s="12"/>
      <c r="BN38" s="12">
        <f t="shared" si="19"/>
        <v>3</v>
      </c>
      <c r="BO38" s="13"/>
      <c r="BP38" s="14">
        <f t="shared" si="20"/>
        <v>0</v>
      </c>
      <c r="BQ38" s="14">
        <f t="shared" si="21"/>
        <v>3</v>
      </c>
    </row>
    <row r="39" spans="1:69" ht="64" x14ac:dyDescent="0.2">
      <c r="A39" s="1"/>
      <c r="B39" s="8" t="s">
        <v>88</v>
      </c>
      <c r="C39" s="9" t="s">
        <v>89</v>
      </c>
      <c r="D39" s="10" t="s">
        <v>90</v>
      </c>
      <c r="E39" s="8" t="s">
        <v>35</v>
      </c>
      <c r="F39" s="22" t="s">
        <v>36</v>
      </c>
      <c r="G39" s="8">
        <v>2</v>
      </c>
      <c r="H39" s="12">
        <v>2</v>
      </c>
      <c r="I39" s="12">
        <f t="shared" si="0"/>
        <v>0</v>
      </c>
      <c r="J39" s="13"/>
      <c r="K39" s="12"/>
      <c r="L39" s="12">
        <f t="shared" si="1"/>
        <v>0</v>
      </c>
      <c r="M39" s="13"/>
      <c r="N39" s="12"/>
      <c r="O39" s="12">
        <f t="shared" si="2"/>
        <v>0</v>
      </c>
      <c r="P39" s="13"/>
      <c r="Q39" s="12"/>
      <c r="R39" s="12">
        <f t="shared" si="3"/>
        <v>0</v>
      </c>
      <c r="S39" s="13"/>
      <c r="T39" s="12"/>
      <c r="U39" s="12">
        <f t="shared" si="4"/>
        <v>0</v>
      </c>
      <c r="V39" s="13"/>
      <c r="W39" s="12"/>
      <c r="X39" s="12">
        <f t="shared" si="5"/>
        <v>0</v>
      </c>
      <c r="Y39" s="13"/>
      <c r="Z39" s="12"/>
      <c r="AA39" s="12">
        <f t="shared" si="6"/>
        <v>0</v>
      </c>
      <c r="AB39" s="13"/>
      <c r="AC39" s="12"/>
      <c r="AD39" s="12">
        <f t="shared" si="7"/>
        <v>0</v>
      </c>
      <c r="AE39" s="13"/>
      <c r="AF39" s="12"/>
      <c r="AG39" s="12">
        <f t="shared" si="8"/>
        <v>0</v>
      </c>
      <c r="AH39" s="13"/>
      <c r="AI39" s="12"/>
      <c r="AJ39" s="12">
        <f t="shared" si="9"/>
        <v>0</v>
      </c>
      <c r="AK39" s="13"/>
      <c r="AL39" s="12"/>
      <c r="AM39" s="12">
        <f t="shared" si="10"/>
        <v>0</v>
      </c>
      <c r="AN39" s="13"/>
      <c r="AO39" s="12"/>
      <c r="AP39" s="12">
        <f t="shared" si="11"/>
        <v>0</v>
      </c>
      <c r="AQ39" s="13"/>
      <c r="AR39" s="12"/>
      <c r="AS39" s="12">
        <f t="shared" si="12"/>
        <v>0</v>
      </c>
      <c r="AT39" s="13"/>
      <c r="AU39" s="12"/>
      <c r="AV39" s="12">
        <f t="shared" si="13"/>
        <v>0</v>
      </c>
      <c r="AW39" s="13"/>
      <c r="AX39" s="12"/>
      <c r="AY39" s="12">
        <f t="shared" si="14"/>
        <v>0</v>
      </c>
      <c r="AZ39" s="13"/>
      <c r="BA39" s="12"/>
      <c r="BB39" s="12">
        <f t="shared" si="15"/>
        <v>0</v>
      </c>
      <c r="BC39" s="13"/>
      <c r="BD39" s="12"/>
      <c r="BE39" s="12">
        <f t="shared" si="16"/>
        <v>0</v>
      </c>
      <c r="BF39" s="13"/>
      <c r="BG39" s="12"/>
      <c r="BH39" s="12">
        <f t="shared" si="17"/>
        <v>0</v>
      </c>
      <c r="BI39" s="13"/>
      <c r="BJ39" s="12"/>
      <c r="BK39" s="12">
        <f t="shared" si="18"/>
        <v>0</v>
      </c>
      <c r="BL39" s="13"/>
      <c r="BM39" s="12"/>
      <c r="BN39" s="12">
        <f t="shared" si="19"/>
        <v>0</v>
      </c>
      <c r="BO39" s="13"/>
      <c r="BP39" s="14">
        <f t="shared" si="20"/>
        <v>2</v>
      </c>
      <c r="BQ39" s="14">
        <f t="shared" si="21"/>
        <v>0</v>
      </c>
    </row>
    <row r="40" spans="1:69" ht="32" x14ac:dyDescent="0.2">
      <c r="A40" s="1"/>
      <c r="B40" s="8"/>
      <c r="C40" s="8"/>
      <c r="D40" s="10" t="s">
        <v>91</v>
      </c>
      <c r="E40" s="8" t="s">
        <v>35</v>
      </c>
      <c r="F40" s="22" t="s">
        <v>36</v>
      </c>
      <c r="G40" s="8">
        <v>2</v>
      </c>
      <c r="H40" s="12">
        <v>2</v>
      </c>
      <c r="I40" s="12">
        <f t="shared" si="0"/>
        <v>0</v>
      </c>
      <c r="J40" s="13"/>
      <c r="K40" s="12"/>
      <c r="L40" s="12">
        <f t="shared" si="1"/>
        <v>0</v>
      </c>
      <c r="M40" s="13"/>
      <c r="N40" s="12"/>
      <c r="O40" s="12">
        <f t="shared" si="2"/>
        <v>0</v>
      </c>
      <c r="P40" s="13"/>
      <c r="Q40" s="12"/>
      <c r="R40" s="12">
        <f t="shared" si="3"/>
        <v>0</v>
      </c>
      <c r="S40" s="13"/>
      <c r="T40" s="12"/>
      <c r="U40" s="12">
        <f t="shared" si="4"/>
        <v>0</v>
      </c>
      <c r="V40" s="13"/>
      <c r="W40" s="12"/>
      <c r="X40" s="12">
        <f t="shared" si="5"/>
        <v>0</v>
      </c>
      <c r="Y40" s="13"/>
      <c r="Z40" s="12"/>
      <c r="AA40" s="12">
        <f t="shared" si="6"/>
        <v>0</v>
      </c>
      <c r="AB40" s="13"/>
      <c r="AC40" s="12"/>
      <c r="AD40" s="12">
        <f t="shared" si="7"/>
        <v>0</v>
      </c>
      <c r="AE40" s="13"/>
      <c r="AF40" s="12"/>
      <c r="AG40" s="12">
        <f t="shared" si="8"/>
        <v>0</v>
      </c>
      <c r="AH40" s="13"/>
      <c r="AI40" s="12"/>
      <c r="AJ40" s="12">
        <f t="shared" si="9"/>
        <v>0</v>
      </c>
      <c r="AK40" s="13"/>
      <c r="AL40" s="12"/>
      <c r="AM40" s="12">
        <f t="shared" si="10"/>
        <v>0</v>
      </c>
      <c r="AN40" s="13"/>
      <c r="AO40" s="12"/>
      <c r="AP40" s="12">
        <f t="shared" si="11"/>
        <v>0</v>
      </c>
      <c r="AQ40" s="13"/>
      <c r="AR40" s="12"/>
      <c r="AS40" s="12">
        <f t="shared" si="12"/>
        <v>0</v>
      </c>
      <c r="AT40" s="13"/>
      <c r="AU40" s="12"/>
      <c r="AV40" s="12">
        <f t="shared" si="13"/>
        <v>0</v>
      </c>
      <c r="AW40" s="13"/>
      <c r="AX40" s="12"/>
      <c r="AY40" s="12">
        <f t="shared" si="14"/>
        <v>0</v>
      </c>
      <c r="AZ40" s="13"/>
      <c r="BA40" s="12"/>
      <c r="BB40" s="12">
        <f t="shared" si="15"/>
        <v>0</v>
      </c>
      <c r="BC40" s="13"/>
      <c r="BD40" s="12"/>
      <c r="BE40" s="12">
        <f t="shared" si="16"/>
        <v>0</v>
      </c>
      <c r="BF40" s="13"/>
      <c r="BG40" s="12"/>
      <c r="BH40" s="12">
        <f t="shared" si="17"/>
        <v>0</v>
      </c>
      <c r="BI40" s="13"/>
      <c r="BJ40" s="12"/>
      <c r="BK40" s="12">
        <f t="shared" si="18"/>
        <v>0</v>
      </c>
      <c r="BL40" s="13"/>
      <c r="BM40" s="12"/>
      <c r="BN40" s="12">
        <f t="shared" si="19"/>
        <v>0</v>
      </c>
      <c r="BO40" s="13"/>
      <c r="BP40" s="14">
        <f t="shared" si="20"/>
        <v>2</v>
      </c>
      <c r="BQ40" s="14">
        <f t="shared" si="21"/>
        <v>0</v>
      </c>
    </row>
    <row r="41" spans="1:69" ht="32" x14ac:dyDescent="0.2">
      <c r="A41" s="1"/>
      <c r="B41" s="8"/>
      <c r="C41" s="8"/>
      <c r="D41" s="10" t="s">
        <v>92</v>
      </c>
      <c r="E41" s="8" t="s">
        <v>35</v>
      </c>
      <c r="F41" s="22" t="s">
        <v>36</v>
      </c>
      <c r="G41" s="8">
        <v>2</v>
      </c>
      <c r="H41" s="12">
        <v>2</v>
      </c>
      <c r="I41" s="12">
        <f t="shared" si="0"/>
        <v>0</v>
      </c>
      <c r="J41" s="13"/>
      <c r="K41" s="12"/>
      <c r="L41" s="12">
        <f t="shared" si="1"/>
        <v>0</v>
      </c>
      <c r="M41" s="13"/>
      <c r="N41" s="12"/>
      <c r="O41" s="12">
        <f t="shared" si="2"/>
        <v>0</v>
      </c>
      <c r="P41" s="13"/>
      <c r="Q41" s="12"/>
      <c r="R41" s="12">
        <f t="shared" si="3"/>
        <v>0</v>
      </c>
      <c r="S41" s="13"/>
      <c r="T41" s="12"/>
      <c r="U41" s="12">
        <f t="shared" si="4"/>
        <v>0</v>
      </c>
      <c r="V41" s="13"/>
      <c r="W41" s="12"/>
      <c r="X41" s="12">
        <f t="shared" si="5"/>
        <v>0</v>
      </c>
      <c r="Y41" s="13"/>
      <c r="Z41" s="12"/>
      <c r="AA41" s="12">
        <f t="shared" si="6"/>
        <v>0</v>
      </c>
      <c r="AB41" s="13"/>
      <c r="AC41" s="12"/>
      <c r="AD41" s="12">
        <f t="shared" si="7"/>
        <v>0</v>
      </c>
      <c r="AE41" s="13"/>
      <c r="AF41" s="12"/>
      <c r="AG41" s="12">
        <f t="shared" si="8"/>
        <v>0</v>
      </c>
      <c r="AH41" s="13"/>
      <c r="AI41" s="12"/>
      <c r="AJ41" s="12">
        <f t="shared" si="9"/>
        <v>0</v>
      </c>
      <c r="AK41" s="13"/>
      <c r="AL41" s="12"/>
      <c r="AM41" s="12">
        <f t="shared" si="10"/>
        <v>0</v>
      </c>
      <c r="AN41" s="13"/>
      <c r="AO41" s="12"/>
      <c r="AP41" s="12">
        <f t="shared" si="11"/>
        <v>0</v>
      </c>
      <c r="AQ41" s="13"/>
      <c r="AR41" s="12"/>
      <c r="AS41" s="12">
        <f t="shared" si="12"/>
        <v>0</v>
      </c>
      <c r="AT41" s="13"/>
      <c r="AU41" s="12"/>
      <c r="AV41" s="12">
        <f t="shared" si="13"/>
        <v>0</v>
      </c>
      <c r="AW41" s="13"/>
      <c r="AX41" s="12"/>
      <c r="AY41" s="12">
        <f t="shared" si="14"/>
        <v>0</v>
      </c>
      <c r="AZ41" s="13"/>
      <c r="BA41" s="12"/>
      <c r="BB41" s="12">
        <f t="shared" si="15"/>
        <v>0</v>
      </c>
      <c r="BC41" s="13"/>
      <c r="BD41" s="12"/>
      <c r="BE41" s="12">
        <f t="shared" si="16"/>
        <v>0</v>
      </c>
      <c r="BF41" s="13"/>
      <c r="BG41" s="12"/>
      <c r="BH41" s="12">
        <f t="shared" si="17"/>
        <v>0</v>
      </c>
      <c r="BI41" s="13"/>
      <c r="BJ41" s="12"/>
      <c r="BK41" s="12">
        <f t="shared" si="18"/>
        <v>0</v>
      </c>
      <c r="BL41" s="13"/>
      <c r="BM41" s="12"/>
      <c r="BN41" s="12">
        <f t="shared" si="19"/>
        <v>0</v>
      </c>
      <c r="BO41" s="13"/>
      <c r="BP41" s="14">
        <f t="shared" si="20"/>
        <v>2</v>
      </c>
      <c r="BQ41" s="14">
        <f t="shared" si="21"/>
        <v>0</v>
      </c>
    </row>
    <row r="42" spans="1:69" ht="32" x14ac:dyDescent="0.2">
      <c r="A42" s="1"/>
      <c r="B42" s="8"/>
      <c r="C42" s="8"/>
      <c r="D42" s="10" t="s">
        <v>93</v>
      </c>
      <c r="E42" s="8" t="s">
        <v>35</v>
      </c>
      <c r="F42" s="22" t="s">
        <v>36</v>
      </c>
      <c r="G42" s="8">
        <v>3</v>
      </c>
      <c r="H42" s="12">
        <v>3</v>
      </c>
      <c r="I42" s="12">
        <f t="shared" si="0"/>
        <v>0</v>
      </c>
      <c r="J42" s="13"/>
      <c r="K42" s="12"/>
      <c r="L42" s="12">
        <f t="shared" si="1"/>
        <v>0</v>
      </c>
      <c r="M42" s="13"/>
      <c r="N42" s="12"/>
      <c r="O42" s="12">
        <f t="shared" si="2"/>
        <v>0</v>
      </c>
      <c r="P42" s="13"/>
      <c r="Q42" s="12"/>
      <c r="R42" s="12">
        <f t="shared" si="3"/>
        <v>0</v>
      </c>
      <c r="S42" s="13"/>
      <c r="T42" s="12"/>
      <c r="U42" s="12">
        <f t="shared" si="4"/>
        <v>0</v>
      </c>
      <c r="V42" s="13"/>
      <c r="W42" s="12"/>
      <c r="X42" s="12">
        <f t="shared" si="5"/>
        <v>0</v>
      </c>
      <c r="Y42" s="13"/>
      <c r="Z42" s="12"/>
      <c r="AA42" s="12">
        <f t="shared" si="6"/>
        <v>0</v>
      </c>
      <c r="AB42" s="13"/>
      <c r="AC42" s="12"/>
      <c r="AD42" s="12">
        <f t="shared" si="7"/>
        <v>0</v>
      </c>
      <c r="AE42" s="13"/>
      <c r="AF42" s="12"/>
      <c r="AG42" s="12">
        <f t="shared" si="8"/>
        <v>0</v>
      </c>
      <c r="AH42" s="13"/>
      <c r="AI42" s="12"/>
      <c r="AJ42" s="12">
        <f t="shared" si="9"/>
        <v>0</v>
      </c>
      <c r="AK42" s="13"/>
      <c r="AL42" s="12"/>
      <c r="AM42" s="12">
        <f t="shared" si="10"/>
        <v>0</v>
      </c>
      <c r="AN42" s="13"/>
      <c r="AO42" s="12"/>
      <c r="AP42" s="12">
        <f t="shared" si="11"/>
        <v>0</v>
      </c>
      <c r="AQ42" s="13"/>
      <c r="AR42" s="12"/>
      <c r="AS42" s="12">
        <f t="shared" si="12"/>
        <v>0</v>
      </c>
      <c r="AT42" s="13"/>
      <c r="AU42" s="12"/>
      <c r="AV42" s="12">
        <f t="shared" si="13"/>
        <v>0</v>
      </c>
      <c r="AW42" s="13"/>
      <c r="AX42" s="12"/>
      <c r="AY42" s="12">
        <f t="shared" si="14"/>
        <v>0</v>
      </c>
      <c r="AZ42" s="13"/>
      <c r="BA42" s="12"/>
      <c r="BB42" s="12">
        <f t="shared" si="15"/>
        <v>0</v>
      </c>
      <c r="BC42" s="13"/>
      <c r="BD42" s="12"/>
      <c r="BE42" s="12">
        <f t="shared" si="16"/>
        <v>0</v>
      </c>
      <c r="BF42" s="13"/>
      <c r="BG42" s="12"/>
      <c r="BH42" s="12">
        <f t="shared" si="17"/>
        <v>0</v>
      </c>
      <c r="BI42" s="13"/>
      <c r="BJ42" s="12"/>
      <c r="BK42" s="12">
        <f t="shared" si="18"/>
        <v>0</v>
      </c>
      <c r="BL42" s="13"/>
      <c r="BM42" s="12"/>
      <c r="BN42" s="12">
        <f t="shared" si="19"/>
        <v>0</v>
      </c>
      <c r="BO42" s="13"/>
      <c r="BP42" s="14">
        <f t="shared" si="20"/>
        <v>3</v>
      </c>
      <c r="BQ42" s="14">
        <f t="shared" si="21"/>
        <v>0</v>
      </c>
    </row>
    <row r="43" spans="1:69" ht="64" x14ac:dyDescent="0.2">
      <c r="A43" s="1"/>
      <c r="B43" s="8" t="s">
        <v>94</v>
      </c>
      <c r="C43" s="9" t="s">
        <v>95</v>
      </c>
      <c r="D43" s="10" t="s">
        <v>96</v>
      </c>
      <c r="E43" s="8" t="s">
        <v>35</v>
      </c>
      <c r="F43" s="22" t="s">
        <v>36</v>
      </c>
      <c r="G43" s="8">
        <v>3</v>
      </c>
      <c r="H43" s="12">
        <v>3</v>
      </c>
      <c r="I43" s="12">
        <f t="shared" si="0"/>
        <v>0</v>
      </c>
      <c r="J43" s="13"/>
      <c r="K43" s="12"/>
      <c r="L43" s="12">
        <f t="shared" si="1"/>
        <v>0</v>
      </c>
      <c r="M43" s="13"/>
      <c r="N43" s="12"/>
      <c r="O43" s="12">
        <f t="shared" si="2"/>
        <v>0</v>
      </c>
      <c r="P43" s="13"/>
      <c r="Q43" s="12"/>
      <c r="R43" s="12">
        <f t="shared" si="3"/>
        <v>0</v>
      </c>
      <c r="S43" s="13"/>
      <c r="T43" s="12"/>
      <c r="U43" s="12">
        <f t="shared" si="4"/>
        <v>0</v>
      </c>
      <c r="V43" s="13"/>
      <c r="W43" s="12"/>
      <c r="X43" s="12">
        <f t="shared" si="5"/>
        <v>0</v>
      </c>
      <c r="Y43" s="13"/>
      <c r="Z43" s="12"/>
      <c r="AA43" s="12">
        <f t="shared" si="6"/>
        <v>0</v>
      </c>
      <c r="AB43" s="13"/>
      <c r="AC43" s="12"/>
      <c r="AD43" s="12">
        <f t="shared" si="7"/>
        <v>0</v>
      </c>
      <c r="AE43" s="13"/>
      <c r="AF43" s="12"/>
      <c r="AG43" s="12">
        <f t="shared" si="8"/>
        <v>0</v>
      </c>
      <c r="AH43" s="13"/>
      <c r="AI43" s="12"/>
      <c r="AJ43" s="12">
        <f t="shared" si="9"/>
        <v>0</v>
      </c>
      <c r="AK43" s="13"/>
      <c r="AL43" s="12"/>
      <c r="AM43" s="12">
        <f t="shared" si="10"/>
        <v>0</v>
      </c>
      <c r="AN43" s="13"/>
      <c r="AO43" s="12"/>
      <c r="AP43" s="12">
        <f t="shared" si="11"/>
        <v>0</v>
      </c>
      <c r="AQ43" s="13"/>
      <c r="AR43" s="12"/>
      <c r="AS43" s="12">
        <f t="shared" si="12"/>
        <v>0</v>
      </c>
      <c r="AT43" s="13"/>
      <c r="AU43" s="12"/>
      <c r="AV43" s="12">
        <f t="shared" si="13"/>
        <v>0</v>
      </c>
      <c r="AW43" s="13"/>
      <c r="AX43" s="12"/>
      <c r="AY43" s="12">
        <f t="shared" si="14"/>
        <v>0</v>
      </c>
      <c r="AZ43" s="13"/>
      <c r="BA43" s="12"/>
      <c r="BB43" s="12">
        <f t="shared" si="15"/>
        <v>0</v>
      </c>
      <c r="BC43" s="13"/>
      <c r="BD43" s="12"/>
      <c r="BE43" s="12">
        <f t="shared" si="16"/>
        <v>0</v>
      </c>
      <c r="BF43" s="13"/>
      <c r="BG43" s="12"/>
      <c r="BH43" s="12">
        <f t="shared" si="17"/>
        <v>0</v>
      </c>
      <c r="BI43" s="13"/>
      <c r="BJ43" s="12"/>
      <c r="BK43" s="12">
        <f t="shared" si="18"/>
        <v>0</v>
      </c>
      <c r="BL43" s="13"/>
      <c r="BM43" s="12"/>
      <c r="BN43" s="12">
        <f t="shared" si="19"/>
        <v>0</v>
      </c>
      <c r="BO43" s="13"/>
      <c r="BP43" s="14">
        <f t="shared" si="20"/>
        <v>3</v>
      </c>
      <c r="BQ43" s="14">
        <f t="shared" si="21"/>
        <v>0</v>
      </c>
    </row>
    <row r="44" spans="1:69" ht="32" x14ac:dyDescent="0.2">
      <c r="A44" s="1"/>
      <c r="B44" s="8"/>
      <c r="C44" s="8"/>
      <c r="D44" s="10" t="s">
        <v>97</v>
      </c>
      <c r="E44" s="8" t="s">
        <v>35</v>
      </c>
      <c r="F44" s="22" t="s">
        <v>36</v>
      </c>
      <c r="G44" s="8">
        <v>3</v>
      </c>
      <c r="H44" s="12">
        <v>3</v>
      </c>
      <c r="I44" s="12">
        <f t="shared" si="0"/>
        <v>0</v>
      </c>
      <c r="J44" s="13"/>
      <c r="K44" s="12"/>
      <c r="L44" s="12">
        <f t="shared" si="1"/>
        <v>0</v>
      </c>
      <c r="M44" s="13"/>
      <c r="N44" s="12"/>
      <c r="O44" s="12">
        <f t="shared" si="2"/>
        <v>0</v>
      </c>
      <c r="P44" s="13"/>
      <c r="Q44" s="12"/>
      <c r="R44" s="12">
        <f t="shared" si="3"/>
        <v>0</v>
      </c>
      <c r="S44" s="13"/>
      <c r="T44" s="12"/>
      <c r="U44" s="12">
        <f t="shared" si="4"/>
        <v>0</v>
      </c>
      <c r="V44" s="13"/>
      <c r="W44" s="12"/>
      <c r="X44" s="12">
        <f t="shared" si="5"/>
        <v>0</v>
      </c>
      <c r="Y44" s="13"/>
      <c r="Z44" s="12"/>
      <c r="AA44" s="12">
        <f t="shared" si="6"/>
        <v>0</v>
      </c>
      <c r="AB44" s="13"/>
      <c r="AC44" s="12"/>
      <c r="AD44" s="12">
        <f t="shared" si="7"/>
        <v>0</v>
      </c>
      <c r="AE44" s="13"/>
      <c r="AF44" s="12"/>
      <c r="AG44" s="12">
        <f t="shared" si="8"/>
        <v>0</v>
      </c>
      <c r="AH44" s="13"/>
      <c r="AI44" s="12"/>
      <c r="AJ44" s="12">
        <f t="shared" si="9"/>
        <v>0</v>
      </c>
      <c r="AK44" s="13"/>
      <c r="AL44" s="12"/>
      <c r="AM44" s="12">
        <f t="shared" si="10"/>
        <v>0</v>
      </c>
      <c r="AN44" s="13"/>
      <c r="AO44" s="12"/>
      <c r="AP44" s="12">
        <f t="shared" si="11"/>
        <v>0</v>
      </c>
      <c r="AQ44" s="13"/>
      <c r="AR44" s="12"/>
      <c r="AS44" s="12">
        <f t="shared" si="12"/>
        <v>0</v>
      </c>
      <c r="AT44" s="13"/>
      <c r="AU44" s="12"/>
      <c r="AV44" s="12">
        <f t="shared" si="13"/>
        <v>0</v>
      </c>
      <c r="AW44" s="13"/>
      <c r="AX44" s="12"/>
      <c r="AY44" s="12">
        <f t="shared" si="14"/>
        <v>0</v>
      </c>
      <c r="AZ44" s="13"/>
      <c r="BA44" s="12"/>
      <c r="BB44" s="12">
        <f t="shared" si="15"/>
        <v>0</v>
      </c>
      <c r="BC44" s="13"/>
      <c r="BD44" s="12"/>
      <c r="BE44" s="12">
        <f t="shared" si="16"/>
        <v>0</v>
      </c>
      <c r="BF44" s="13"/>
      <c r="BG44" s="12"/>
      <c r="BH44" s="12">
        <f t="shared" si="17"/>
        <v>0</v>
      </c>
      <c r="BI44" s="13"/>
      <c r="BJ44" s="12"/>
      <c r="BK44" s="12">
        <f t="shared" si="18"/>
        <v>0</v>
      </c>
      <c r="BL44" s="13"/>
      <c r="BM44" s="12"/>
      <c r="BN44" s="12">
        <f t="shared" si="19"/>
        <v>0</v>
      </c>
      <c r="BO44" s="13"/>
      <c r="BP44" s="14">
        <f t="shared" si="20"/>
        <v>3</v>
      </c>
      <c r="BQ44" s="14">
        <f t="shared" si="21"/>
        <v>0</v>
      </c>
    </row>
    <row r="45" spans="1:69" ht="32" x14ac:dyDescent="0.2">
      <c r="A45" s="1"/>
      <c r="B45" s="8"/>
      <c r="C45" s="8"/>
      <c r="D45" s="10" t="s">
        <v>98</v>
      </c>
      <c r="E45" s="8" t="s">
        <v>35</v>
      </c>
      <c r="F45" s="15" t="s">
        <v>40</v>
      </c>
      <c r="G45" s="8">
        <v>4</v>
      </c>
      <c r="H45" s="12">
        <v>0</v>
      </c>
      <c r="I45" s="12">
        <f t="shared" si="0"/>
        <v>4</v>
      </c>
      <c r="J45" s="13"/>
      <c r="K45" s="12"/>
      <c r="L45" s="12">
        <f t="shared" si="1"/>
        <v>4</v>
      </c>
      <c r="M45" s="13"/>
      <c r="N45" s="12"/>
      <c r="O45" s="12">
        <f t="shared" si="2"/>
        <v>4</v>
      </c>
      <c r="P45" s="13"/>
      <c r="Q45" s="12"/>
      <c r="R45" s="12">
        <f t="shared" si="3"/>
        <v>4</v>
      </c>
      <c r="S45" s="13"/>
      <c r="T45" s="12"/>
      <c r="U45" s="12">
        <f t="shared" si="4"/>
        <v>4</v>
      </c>
      <c r="V45" s="13"/>
      <c r="W45" s="12"/>
      <c r="X45" s="12">
        <f t="shared" si="5"/>
        <v>4</v>
      </c>
      <c r="Y45" s="13"/>
      <c r="Z45" s="12"/>
      <c r="AA45" s="12">
        <f t="shared" si="6"/>
        <v>4</v>
      </c>
      <c r="AB45" s="13"/>
      <c r="AC45" s="12"/>
      <c r="AD45" s="12">
        <f t="shared" si="7"/>
        <v>4</v>
      </c>
      <c r="AE45" s="13"/>
      <c r="AF45" s="12"/>
      <c r="AG45" s="12">
        <f t="shared" si="8"/>
        <v>4</v>
      </c>
      <c r="AH45" s="13"/>
      <c r="AI45" s="12"/>
      <c r="AJ45" s="12">
        <f t="shared" si="9"/>
        <v>4</v>
      </c>
      <c r="AK45" s="13"/>
      <c r="AL45" s="12"/>
      <c r="AM45" s="12">
        <f t="shared" si="10"/>
        <v>4</v>
      </c>
      <c r="AN45" s="13"/>
      <c r="AO45" s="12"/>
      <c r="AP45" s="12">
        <f t="shared" si="11"/>
        <v>4</v>
      </c>
      <c r="AQ45" s="13"/>
      <c r="AR45" s="12"/>
      <c r="AS45" s="12">
        <f t="shared" si="12"/>
        <v>4</v>
      </c>
      <c r="AT45" s="13"/>
      <c r="AU45" s="12"/>
      <c r="AV45" s="12">
        <f t="shared" si="13"/>
        <v>4</v>
      </c>
      <c r="AW45" s="13"/>
      <c r="AX45" s="12"/>
      <c r="AY45" s="12">
        <f t="shared" si="14"/>
        <v>4</v>
      </c>
      <c r="AZ45" s="13"/>
      <c r="BA45" s="12"/>
      <c r="BB45" s="12">
        <f t="shared" si="15"/>
        <v>4</v>
      </c>
      <c r="BC45" s="13"/>
      <c r="BD45" s="12"/>
      <c r="BE45" s="12">
        <f t="shared" si="16"/>
        <v>4</v>
      </c>
      <c r="BF45" s="13"/>
      <c r="BG45" s="12"/>
      <c r="BH45" s="12">
        <f t="shared" si="17"/>
        <v>4</v>
      </c>
      <c r="BI45" s="13"/>
      <c r="BJ45" s="12"/>
      <c r="BK45" s="12">
        <f t="shared" si="18"/>
        <v>4</v>
      </c>
      <c r="BL45" s="13"/>
      <c r="BM45" s="12"/>
      <c r="BN45" s="12">
        <f t="shared" si="19"/>
        <v>4</v>
      </c>
      <c r="BO45" s="13"/>
      <c r="BP45" s="14">
        <f t="shared" si="20"/>
        <v>0</v>
      </c>
      <c r="BQ45" s="14">
        <f t="shared" si="21"/>
        <v>4</v>
      </c>
    </row>
    <row r="46" spans="1:69" ht="32" x14ac:dyDescent="0.2">
      <c r="A46" s="1"/>
      <c r="B46" s="8"/>
      <c r="C46" s="8"/>
      <c r="D46" s="10" t="s">
        <v>99</v>
      </c>
      <c r="E46" s="8" t="s">
        <v>35</v>
      </c>
      <c r="F46" s="22" t="s">
        <v>36</v>
      </c>
      <c r="G46" s="8">
        <v>3</v>
      </c>
      <c r="H46" s="12">
        <v>3</v>
      </c>
      <c r="I46" s="12">
        <f t="shared" si="0"/>
        <v>0</v>
      </c>
      <c r="J46" s="13"/>
      <c r="K46" s="12"/>
      <c r="L46" s="12">
        <f t="shared" si="1"/>
        <v>0</v>
      </c>
      <c r="M46" s="13"/>
      <c r="N46" s="12"/>
      <c r="O46" s="12">
        <f t="shared" si="2"/>
        <v>0</v>
      </c>
      <c r="P46" s="13"/>
      <c r="Q46" s="12"/>
      <c r="R46" s="12">
        <f t="shared" si="3"/>
        <v>0</v>
      </c>
      <c r="S46" s="13"/>
      <c r="T46" s="12"/>
      <c r="U46" s="12">
        <f t="shared" si="4"/>
        <v>0</v>
      </c>
      <c r="V46" s="13"/>
      <c r="W46" s="12"/>
      <c r="X46" s="12">
        <f t="shared" si="5"/>
        <v>0</v>
      </c>
      <c r="Y46" s="13"/>
      <c r="Z46" s="12"/>
      <c r="AA46" s="12">
        <f t="shared" si="6"/>
        <v>0</v>
      </c>
      <c r="AB46" s="13"/>
      <c r="AC46" s="12"/>
      <c r="AD46" s="12">
        <f t="shared" si="7"/>
        <v>0</v>
      </c>
      <c r="AE46" s="13"/>
      <c r="AF46" s="12"/>
      <c r="AG46" s="12">
        <f t="shared" si="8"/>
        <v>0</v>
      </c>
      <c r="AH46" s="13"/>
      <c r="AI46" s="12"/>
      <c r="AJ46" s="12">
        <f t="shared" si="9"/>
        <v>0</v>
      </c>
      <c r="AK46" s="13"/>
      <c r="AL46" s="12"/>
      <c r="AM46" s="12">
        <f t="shared" si="10"/>
        <v>0</v>
      </c>
      <c r="AN46" s="13"/>
      <c r="AO46" s="12"/>
      <c r="AP46" s="12">
        <f t="shared" si="11"/>
        <v>0</v>
      </c>
      <c r="AQ46" s="13"/>
      <c r="AR46" s="12"/>
      <c r="AS46" s="12">
        <f t="shared" si="12"/>
        <v>0</v>
      </c>
      <c r="AT46" s="13"/>
      <c r="AU46" s="12"/>
      <c r="AV46" s="12">
        <f t="shared" si="13"/>
        <v>0</v>
      </c>
      <c r="AW46" s="13"/>
      <c r="AX46" s="12"/>
      <c r="AY46" s="12">
        <f t="shared" si="14"/>
        <v>0</v>
      </c>
      <c r="AZ46" s="13"/>
      <c r="BA46" s="12"/>
      <c r="BB46" s="12">
        <f t="shared" si="15"/>
        <v>0</v>
      </c>
      <c r="BC46" s="13"/>
      <c r="BD46" s="12"/>
      <c r="BE46" s="12">
        <f t="shared" si="16"/>
        <v>0</v>
      </c>
      <c r="BF46" s="13"/>
      <c r="BG46" s="12"/>
      <c r="BH46" s="12">
        <f t="shared" si="17"/>
        <v>0</v>
      </c>
      <c r="BI46" s="13"/>
      <c r="BJ46" s="12"/>
      <c r="BK46" s="12">
        <f t="shared" si="18"/>
        <v>0</v>
      </c>
      <c r="BL46" s="13"/>
      <c r="BM46" s="12"/>
      <c r="BN46" s="12">
        <f t="shared" si="19"/>
        <v>0</v>
      </c>
      <c r="BO46" s="13"/>
      <c r="BP46" s="14">
        <f t="shared" si="20"/>
        <v>3</v>
      </c>
      <c r="BQ46" s="14">
        <f t="shared" si="21"/>
        <v>0</v>
      </c>
    </row>
    <row r="47" spans="1:69" ht="15.75" customHeight="1" x14ac:dyDescent="0.2">
      <c r="A47" s="1"/>
      <c r="B47" s="1"/>
      <c r="C47" s="3"/>
      <c r="D47" s="16"/>
      <c r="E47" s="1"/>
      <c r="F47" s="1" t="s">
        <v>125</v>
      </c>
      <c r="G47" s="1">
        <f>SUM(G6:G46)</f>
        <v>123</v>
      </c>
      <c r="H47" s="1">
        <f>SUM(H6:H46)</f>
        <v>80</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spans="1:69" ht="15.75" customHeight="1" x14ac:dyDescent="0.2">
      <c r="A48" s="1"/>
      <c r="B48" s="1"/>
      <c r="C48" s="3"/>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spans="1:69" ht="15.75" customHeight="1" x14ac:dyDescent="0.2">
      <c r="A49" s="1"/>
      <c r="B49" s="1"/>
      <c r="C49" s="3"/>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spans="1:69" ht="15.75" customHeight="1" x14ac:dyDescent="0.2">
      <c r="A50" s="1"/>
      <c r="B50" s="1"/>
      <c r="C50" s="3"/>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spans="1:69" ht="15.75" customHeight="1" x14ac:dyDescent="0.2">
      <c r="A51" s="1"/>
      <c r="B51" s="1"/>
      <c r="C51" s="3"/>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spans="1:69" ht="15.75" customHeight="1" x14ac:dyDescent="0.2">
      <c r="A52" s="1"/>
      <c r="B52" s="1"/>
      <c r="C52" s="3"/>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spans="1:69" ht="15.75" customHeight="1" x14ac:dyDescent="0.2">
      <c r="A53" s="1"/>
      <c r="B53" s="1"/>
      <c r="C53" s="3"/>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spans="1:69" ht="15.75" customHeight="1" x14ac:dyDescent="0.2">
      <c r="A54" s="1"/>
      <c r="B54" s="1"/>
      <c r="C54" s="3"/>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spans="1:69" ht="15.75" customHeight="1" x14ac:dyDescent="0.2">
      <c r="A55" s="1"/>
      <c r="B55" s="1"/>
      <c r="C55" s="3"/>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spans="1:69" ht="15.75" customHeight="1" x14ac:dyDescent="0.2">
      <c r="A56" s="1"/>
      <c r="B56" s="1"/>
      <c r="C56" s="3"/>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spans="1:69" ht="15.75" customHeight="1" x14ac:dyDescent="0.2">
      <c r="A57" s="1"/>
      <c r="B57" s="1"/>
      <c r="C57" s="3"/>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ht="15.75" customHeight="1" x14ac:dyDescent="0.2">
      <c r="A58" s="1"/>
      <c r="B58" s="1"/>
      <c r="C58" s="3"/>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ht="15.75" customHeight="1" x14ac:dyDescent="0.2">
      <c r="A59" s="1"/>
      <c r="B59" s="1"/>
      <c r="C59" s="3"/>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ht="15.75" customHeight="1" x14ac:dyDescent="0.2">
      <c r="A60" s="1"/>
      <c r="B60" s="1"/>
      <c r="C60" s="3"/>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ht="15.75" customHeight="1" x14ac:dyDescent="0.2">
      <c r="A61" s="1"/>
      <c r="B61" s="1"/>
      <c r="C61" s="3"/>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ht="15.75" customHeight="1" x14ac:dyDescent="0.2">
      <c r="A62" s="1"/>
      <c r="B62" s="1"/>
      <c r="C62" s="3"/>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ht="15.75" customHeight="1" x14ac:dyDescent="0.2">
      <c r="A63" s="1"/>
      <c r="B63" s="1"/>
      <c r="C63" s="3"/>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ht="15.75" customHeight="1" x14ac:dyDescent="0.2">
      <c r="A64" s="1"/>
      <c r="B64" s="1"/>
      <c r="C64" s="3"/>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ht="15.75" customHeight="1" x14ac:dyDescent="0.2">
      <c r="A65" s="1"/>
      <c r="B65" s="1"/>
      <c r="C65" s="3"/>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ht="15.75" customHeight="1" x14ac:dyDescent="0.2">
      <c r="A66" s="1"/>
      <c r="B66" s="1"/>
      <c r="C66" s="3"/>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ht="15.75" customHeight="1" x14ac:dyDescent="0.2">
      <c r="A67" s="1"/>
      <c r="B67" s="1"/>
      <c r="C67" s="3"/>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ht="15.75" customHeight="1" x14ac:dyDescent="0.2">
      <c r="A68" s="1"/>
      <c r="B68" s="1"/>
      <c r="C68" s="3"/>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ht="15.75" customHeight="1" x14ac:dyDescent="0.2">
      <c r="A69" s="1"/>
      <c r="B69" s="1"/>
      <c r="C69" s="3"/>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ht="15.75" customHeight="1" x14ac:dyDescent="0.2">
      <c r="A70" s="1"/>
      <c r="B70" s="1"/>
      <c r="C70" s="3"/>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ht="15.75" customHeight="1" x14ac:dyDescent="0.2">
      <c r="A71" s="1"/>
      <c r="B71" s="1"/>
      <c r="C71" s="3"/>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ht="15.75" customHeight="1" x14ac:dyDescent="0.2">
      <c r="A72" s="1"/>
      <c r="B72" s="1"/>
      <c r="C72" s="3"/>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ht="15.75" customHeight="1" x14ac:dyDescent="0.2">
      <c r="A73" s="1"/>
      <c r="B73" s="1"/>
      <c r="C73" s="3"/>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spans="1:69" ht="15.75" customHeight="1" x14ac:dyDescent="0.2">
      <c r="A74" s="1"/>
      <c r="B74" s="1"/>
      <c r="C74" s="3"/>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spans="1:69" ht="15.75" customHeight="1" x14ac:dyDescent="0.2">
      <c r="A75" s="1"/>
      <c r="B75" s="1"/>
      <c r="C75" s="3"/>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spans="1:69" ht="15.75" customHeight="1" x14ac:dyDescent="0.2">
      <c r="A76" s="1"/>
      <c r="B76" s="1"/>
      <c r="C76" s="3"/>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spans="1:69" ht="15.75" customHeight="1" x14ac:dyDescent="0.2">
      <c r="A77" s="1"/>
      <c r="B77" s="1"/>
      <c r="C77" s="3"/>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spans="1:69" ht="15.75" customHeight="1" x14ac:dyDescent="0.2">
      <c r="A78" s="1"/>
      <c r="B78" s="1"/>
      <c r="C78" s="3"/>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spans="1:69" ht="15.75" customHeight="1" x14ac:dyDescent="0.2">
      <c r="A79" s="1"/>
      <c r="B79" s="1"/>
      <c r="C79" s="3"/>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spans="1:69" ht="15.75" customHeight="1" x14ac:dyDescent="0.2">
      <c r="A80" s="1"/>
      <c r="B80" s="1"/>
      <c r="C80" s="3"/>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spans="1:69" ht="15.75" customHeight="1" x14ac:dyDescent="0.2">
      <c r="A81" s="1"/>
      <c r="B81" s="1"/>
      <c r="C81" s="3"/>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spans="1:69" ht="15.75" customHeight="1" x14ac:dyDescent="0.2">
      <c r="A82" s="1"/>
      <c r="B82" s="1"/>
      <c r="C82" s="3"/>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spans="1:69" ht="15.75" customHeight="1" x14ac:dyDescent="0.2">
      <c r="A83" s="1"/>
      <c r="B83" s="1"/>
      <c r="C83" s="3"/>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spans="1:69" ht="15.75" customHeight="1" x14ac:dyDescent="0.2">
      <c r="A84" s="1"/>
      <c r="B84" s="1"/>
      <c r="C84" s="3"/>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spans="1:69" ht="15.75" customHeight="1" x14ac:dyDescent="0.2">
      <c r="A85" s="1"/>
      <c r="B85" s="1"/>
      <c r="C85" s="3"/>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spans="1:69" ht="15.75" customHeight="1" x14ac:dyDescent="0.2">
      <c r="A86" s="1"/>
      <c r="B86" s="1"/>
      <c r="C86" s="3"/>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spans="1:69" ht="15.75" customHeight="1" x14ac:dyDescent="0.2">
      <c r="A87" s="1"/>
      <c r="B87" s="1"/>
      <c r="C87" s="3"/>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spans="1:69" ht="15.75" customHeight="1" x14ac:dyDescent="0.2">
      <c r="A88" s="1"/>
      <c r="B88" s="1"/>
      <c r="C88" s="3"/>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spans="1:69" ht="15.75" customHeight="1" x14ac:dyDescent="0.2">
      <c r="A89" s="1"/>
      <c r="B89" s="1"/>
      <c r="C89" s="3"/>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spans="1:69" ht="15.75" customHeight="1" x14ac:dyDescent="0.2">
      <c r="A90" s="1"/>
      <c r="B90" s="1"/>
      <c r="C90" s="3"/>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ht="15.75" customHeight="1" x14ac:dyDescent="0.2">
      <c r="A91" s="1"/>
      <c r="B91" s="1"/>
      <c r="C91" s="3"/>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spans="1:69" ht="15.75" customHeight="1" x14ac:dyDescent="0.2">
      <c r="A92" s="1"/>
      <c r="B92" s="1"/>
      <c r="C92" s="3"/>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spans="1:69" ht="15.75" customHeight="1" x14ac:dyDescent="0.2">
      <c r="A93" s="1"/>
      <c r="B93" s="1"/>
      <c r="C93" s="3"/>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spans="1:69" ht="15.75" customHeight="1" x14ac:dyDescent="0.2">
      <c r="A94" s="1"/>
      <c r="B94" s="1"/>
      <c r="C94" s="3"/>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spans="1:69" ht="15.75" customHeight="1" x14ac:dyDescent="0.2">
      <c r="A95" s="1"/>
      <c r="B95" s="1"/>
      <c r="C95" s="3"/>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spans="1:69" ht="15.75" customHeight="1" x14ac:dyDescent="0.2">
      <c r="A96" s="1"/>
      <c r="B96" s="1"/>
      <c r="C96" s="3"/>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spans="1:69" ht="15.75" customHeight="1" x14ac:dyDescent="0.2">
      <c r="A97" s="1"/>
      <c r="B97" s="1"/>
      <c r="C97" s="3"/>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spans="1:69" ht="15.75" customHeight="1" x14ac:dyDescent="0.2">
      <c r="A98" s="1"/>
      <c r="B98" s="1"/>
      <c r="C98" s="3"/>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spans="1:69" ht="15.75" customHeight="1" x14ac:dyDescent="0.2">
      <c r="A99" s="1"/>
      <c r="B99" s="1"/>
      <c r="C99" s="3"/>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spans="1:69" ht="15.75" customHeight="1" x14ac:dyDescent="0.2">
      <c r="A100" s="1"/>
      <c r="B100" s="1"/>
      <c r="C100" s="3"/>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spans="1:69" ht="15.75" customHeight="1" x14ac:dyDescent="0.2">
      <c r="A101" s="1"/>
      <c r="B101" s="1"/>
      <c r="C101" s="3"/>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spans="1:69" ht="15.75" customHeight="1" x14ac:dyDescent="0.2">
      <c r="A102" s="1"/>
      <c r="B102" s="1"/>
      <c r="C102" s="3"/>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spans="1:69" ht="15.75" customHeight="1" x14ac:dyDescent="0.2">
      <c r="A103" s="1"/>
      <c r="B103" s="1"/>
      <c r="C103" s="3"/>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spans="1:69" ht="15.75" customHeight="1" x14ac:dyDescent="0.2">
      <c r="A104" s="1"/>
      <c r="B104" s="1"/>
      <c r="C104" s="3"/>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spans="1:69" ht="15.75" customHeight="1" x14ac:dyDescent="0.2">
      <c r="A105" s="1"/>
      <c r="B105" s="1"/>
      <c r="C105" s="3"/>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spans="1:69" ht="15.75" customHeight="1" x14ac:dyDescent="0.2">
      <c r="A106" s="1"/>
      <c r="B106" s="1"/>
      <c r="C106" s="3"/>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spans="1:69" ht="15.75" customHeight="1" x14ac:dyDescent="0.2">
      <c r="A107" s="1"/>
      <c r="B107" s="1"/>
      <c r="C107" s="3"/>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spans="1:69" ht="15.75" customHeight="1" x14ac:dyDescent="0.2">
      <c r="A108" s="1"/>
      <c r="B108" s="1"/>
      <c r="C108" s="3"/>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spans="1:69" ht="15.75" customHeight="1" x14ac:dyDescent="0.2">
      <c r="A109" s="1"/>
      <c r="B109" s="1"/>
      <c r="C109" s="3"/>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spans="1:69" ht="15.75" customHeight="1" x14ac:dyDescent="0.2">
      <c r="A110" s="1"/>
      <c r="B110" s="1"/>
      <c r="C110" s="3"/>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spans="1:69" ht="15.75" customHeight="1" x14ac:dyDescent="0.2">
      <c r="A111" s="1"/>
      <c r="B111" s="1"/>
      <c r="C111" s="3"/>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spans="1:69" ht="15.75" customHeight="1" x14ac:dyDescent="0.2">
      <c r="A112" s="1"/>
      <c r="B112" s="1"/>
      <c r="C112" s="3"/>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spans="1:69" ht="15.75" customHeight="1" x14ac:dyDescent="0.2">
      <c r="A113" s="1"/>
      <c r="B113" s="1"/>
      <c r="C113" s="3"/>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spans="1:69" ht="15.75" customHeight="1" x14ac:dyDescent="0.2">
      <c r="A114" s="1"/>
      <c r="B114" s="1"/>
      <c r="C114" s="3"/>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spans="1:69" ht="15.75" customHeight="1" x14ac:dyDescent="0.2">
      <c r="A115" s="1"/>
      <c r="B115" s="1"/>
      <c r="C115" s="3"/>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spans="1:69" ht="15.75" customHeight="1" x14ac:dyDescent="0.2">
      <c r="A116" s="1"/>
      <c r="B116" s="1"/>
      <c r="C116" s="3"/>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spans="1:69" ht="15.75" customHeight="1" x14ac:dyDescent="0.2">
      <c r="A117" s="1"/>
      <c r="B117" s="1"/>
      <c r="C117" s="3"/>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spans="1:69" ht="15.75" customHeight="1" x14ac:dyDescent="0.2">
      <c r="A118" s="1"/>
      <c r="B118" s="1"/>
      <c r="C118" s="3"/>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ht="15.75" customHeight="1" x14ac:dyDescent="0.2">
      <c r="A119" s="1"/>
      <c r="B119" s="1"/>
      <c r="C119" s="3"/>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spans="1:69" ht="15.75" customHeight="1" x14ac:dyDescent="0.2">
      <c r="A120" s="1"/>
      <c r="B120" s="1"/>
      <c r="C120" s="3"/>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spans="1:69" ht="15.75" customHeight="1" x14ac:dyDescent="0.2">
      <c r="A121" s="1"/>
      <c r="B121" s="1"/>
      <c r="C121" s="3"/>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spans="1:69" ht="15.75" customHeight="1" x14ac:dyDescent="0.2">
      <c r="A122" s="1"/>
      <c r="B122" s="1"/>
      <c r="C122" s="3"/>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spans="1:69" ht="15.75" customHeight="1" x14ac:dyDescent="0.2">
      <c r="A123" s="1"/>
      <c r="B123" s="1"/>
      <c r="C123" s="3"/>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spans="1:69" ht="15.75" customHeight="1" x14ac:dyDescent="0.2">
      <c r="A124" s="1"/>
      <c r="B124" s="1"/>
      <c r="C124" s="3"/>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spans="1:69" ht="15.75" customHeight="1" x14ac:dyDescent="0.2">
      <c r="A125" s="1"/>
      <c r="B125" s="1"/>
      <c r="C125" s="3"/>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spans="1:69" ht="15.75" customHeight="1" x14ac:dyDescent="0.2">
      <c r="A126" s="1"/>
      <c r="B126" s="1"/>
      <c r="C126" s="3"/>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spans="1:69" ht="15.75" customHeight="1" x14ac:dyDescent="0.2">
      <c r="A127" s="1"/>
      <c r="B127" s="1"/>
      <c r="C127" s="3"/>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spans="1:69" ht="15.75" customHeight="1" x14ac:dyDescent="0.2">
      <c r="A128" s="1"/>
      <c r="B128" s="1"/>
      <c r="C128" s="3"/>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spans="1:69" ht="15.75" customHeight="1" x14ac:dyDescent="0.2">
      <c r="A129" s="1"/>
      <c r="B129" s="1"/>
      <c r="C129" s="3"/>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spans="1:69" ht="15.75" customHeight="1" x14ac:dyDescent="0.2">
      <c r="A130" s="1"/>
      <c r="B130" s="1"/>
      <c r="C130" s="3"/>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spans="1:69" ht="15.75" customHeight="1" x14ac:dyDescent="0.2">
      <c r="A131" s="1"/>
      <c r="B131" s="1"/>
      <c r="C131" s="3"/>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spans="1:69" ht="15.75" customHeight="1" x14ac:dyDescent="0.2">
      <c r="A132" s="1"/>
      <c r="B132" s="1"/>
      <c r="C132" s="3"/>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spans="1:69" ht="15.75" customHeight="1" x14ac:dyDescent="0.2">
      <c r="A133" s="1"/>
      <c r="B133" s="1"/>
      <c r="C133" s="3"/>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spans="1:69" ht="15.75" customHeight="1" x14ac:dyDescent="0.2">
      <c r="A134" s="1"/>
      <c r="B134" s="1"/>
      <c r="C134" s="3"/>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spans="1:69" ht="15.75" customHeight="1" x14ac:dyDescent="0.2">
      <c r="A135" s="1"/>
      <c r="B135" s="1"/>
      <c r="C135" s="3"/>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spans="1:69" ht="15.75" customHeight="1" x14ac:dyDescent="0.2">
      <c r="A136" s="1"/>
      <c r="B136" s="1"/>
      <c r="C136" s="3"/>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spans="1:69" ht="15.75" customHeight="1" x14ac:dyDescent="0.2">
      <c r="A137" s="1"/>
      <c r="B137" s="1"/>
      <c r="C137" s="3"/>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spans="1:69" ht="15.75" customHeight="1" x14ac:dyDescent="0.2">
      <c r="A138" s="1"/>
      <c r="B138" s="1"/>
      <c r="C138" s="3"/>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spans="1:69" ht="15.75" customHeight="1" x14ac:dyDescent="0.2">
      <c r="A139" s="1"/>
      <c r="B139" s="1"/>
      <c r="C139" s="3"/>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spans="1:69" ht="15.75" customHeight="1" x14ac:dyDescent="0.2">
      <c r="A140" s="1"/>
      <c r="B140" s="1"/>
      <c r="C140" s="3"/>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spans="1:69" ht="15.75" customHeight="1" x14ac:dyDescent="0.2">
      <c r="A141" s="1"/>
      <c r="B141" s="1"/>
      <c r="C141" s="3"/>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spans="1:69" ht="15.75" customHeight="1" x14ac:dyDescent="0.2">
      <c r="A142" s="1"/>
      <c r="B142" s="1"/>
      <c r="C142" s="3"/>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spans="1:69" ht="15.75" customHeight="1" x14ac:dyDescent="0.2">
      <c r="A143" s="1"/>
      <c r="B143" s="1"/>
      <c r="C143" s="3"/>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spans="1:69" ht="15.75" customHeight="1" x14ac:dyDescent="0.2">
      <c r="A144" s="1"/>
      <c r="B144" s="1"/>
      <c r="C144" s="3"/>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spans="1:69" ht="15.75" customHeight="1" x14ac:dyDescent="0.2">
      <c r="A145" s="1"/>
      <c r="B145" s="1"/>
      <c r="C145" s="3"/>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spans="1:69" ht="15.75" customHeight="1" x14ac:dyDescent="0.2">
      <c r="A146" s="1"/>
      <c r="B146" s="1"/>
      <c r="C146" s="3"/>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spans="1:69" ht="15.75" customHeight="1" x14ac:dyDescent="0.2">
      <c r="A147" s="1"/>
      <c r="B147" s="1"/>
      <c r="C147" s="3"/>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spans="1:69" ht="15.75" customHeight="1" x14ac:dyDescent="0.2">
      <c r="A148" s="1"/>
      <c r="B148" s="1"/>
      <c r="C148" s="3"/>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ht="15.75" customHeight="1" x14ac:dyDescent="0.2">
      <c r="A149" s="1"/>
      <c r="B149" s="1"/>
      <c r="C149" s="3"/>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spans="1:69" ht="15.75" customHeight="1" x14ac:dyDescent="0.2">
      <c r="A150" s="1"/>
      <c r="B150" s="1"/>
      <c r="C150" s="3"/>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spans="1:69" ht="15.75" customHeight="1" x14ac:dyDescent="0.2">
      <c r="A151" s="1"/>
      <c r="B151" s="1"/>
      <c r="C151" s="3"/>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spans="1:69" ht="15.75" customHeight="1" x14ac:dyDescent="0.2">
      <c r="A152" s="1"/>
      <c r="B152" s="1"/>
      <c r="C152" s="3"/>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spans="1:69" ht="15.75" customHeight="1" x14ac:dyDescent="0.2">
      <c r="A153" s="1"/>
      <c r="B153" s="1"/>
      <c r="C153" s="3"/>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spans="1:69" ht="15.75" customHeight="1" x14ac:dyDescent="0.2">
      <c r="A154" s="1"/>
      <c r="B154" s="1"/>
      <c r="C154" s="3"/>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spans="1:69" ht="15.75" customHeight="1" x14ac:dyDescent="0.2">
      <c r="A155" s="1"/>
      <c r="B155" s="1"/>
      <c r="C155" s="3"/>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spans="1:69" ht="15.75" customHeight="1" x14ac:dyDescent="0.2">
      <c r="A156" s="1"/>
      <c r="B156" s="1"/>
      <c r="C156" s="3"/>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spans="1:69" ht="15.75" customHeight="1" x14ac:dyDescent="0.2">
      <c r="A157" s="1"/>
      <c r="B157" s="1"/>
      <c r="C157" s="3"/>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spans="1:69" ht="15.75" customHeight="1" x14ac:dyDescent="0.2">
      <c r="A158" s="1"/>
      <c r="B158" s="1"/>
      <c r="C158" s="3"/>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spans="1:69" ht="15.75" customHeight="1" x14ac:dyDescent="0.2">
      <c r="A159" s="1"/>
      <c r="B159" s="1"/>
      <c r="C159" s="3"/>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spans="1:69" ht="15.75" customHeight="1" x14ac:dyDescent="0.2">
      <c r="A160" s="1"/>
      <c r="B160" s="1"/>
      <c r="C160" s="3"/>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spans="1:69" ht="15.75" customHeight="1" x14ac:dyDescent="0.2">
      <c r="A161" s="1"/>
      <c r="B161" s="1"/>
      <c r="C161" s="3"/>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spans="1:69" ht="15.75" customHeight="1" x14ac:dyDescent="0.2">
      <c r="A162" s="1"/>
      <c r="B162" s="1"/>
      <c r="C162" s="3"/>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spans="1:69" ht="15.75" customHeight="1" x14ac:dyDescent="0.2">
      <c r="A163" s="1"/>
      <c r="B163" s="1"/>
      <c r="C163" s="3"/>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spans="1:69" ht="15.75" customHeight="1" x14ac:dyDescent="0.2">
      <c r="A164" s="1"/>
      <c r="B164" s="1"/>
      <c r="C164" s="3"/>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spans="1:69" ht="15.75" customHeight="1" x14ac:dyDescent="0.2">
      <c r="A165" s="1"/>
      <c r="B165" s="1"/>
      <c r="C165" s="3"/>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spans="1:69" ht="15.75" customHeight="1" x14ac:dyDescent="0.2">
      <c r="A166" s="1"/>
      <c r="B166" s="1"/>
      <c r="C166" s="3"/>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spans="1:69" ht="15.75" customHeight="1" x14ac:dyDescent="0.2">
      <c r="A167" s="1"/>
      <c r="B167" s="1"/>
      <c r="C167" s="3"/>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spans="1:69" ht="15.75" customHeight="1" x14ac:dyDescent="0.2">
      <c r="A168" s="1"/>
      <c r="B168" s="1"/>
      <c r="C168" s="3"/>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spans="1:69" ht="15.75" customHeight="1" x14ac:dyDescent="0.2">
      <c r="A169" s="1"/>
      <c r="B169" s="1"/>
      <c r="C169" s="3"/>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spans="1:69" ht="15.75" customHeight="1" x14ac:dyDescent="0.2">
      <c r="A170" s="1"/>
      <c r="B170" s="1"/>
      <c r="C170" s="3"/>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spans="1:69" ht="15.75" customHeight="1" x14ac:dyDescent="0.2">
      <c r="A171" s="1"/>
      <c r="B171" s="1"/>
      <c r="C171" s="3"/>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spans="1:69" ht="15.75" customHeight="1" x14ac:dyDescent="0.2">
      <c r="A172" s="1"/>
      <c r="B172" s="1"/>
      <c r="C172" s="3"/>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spans="1:69" ht="15.75" customHeight="1" x14ac:dyDescent="0.2">
      <c r="A173" s="1"/>
      <c r="B173" s="1"/>
      <c r="C173" s="3"/>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spans="1:69" ht="15.75" customHeight="1" x14ac:dyDescent="0.2">
      <c r="A174" s="1"/>
      <c r="B174" s="1"/>
      <c r="C174" s="3"/>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spans="1:69" ht="15.75" customHeight="1" x14ac:dyDescent="0.2">
      <c r="A175" s="1"/>
      <c r="B175" s="1"/>
      <c r="C175" s="3"/>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spans="1:69" ht="15.75" customHeight="1" x14ac:dyDescent="0.2">
      <c r="A176" s="1"/>
      <c r="B176" s="1"/>
      <c r="C176" s="3"/>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spans="1:69" ht="15.75" customHeight="1" x14ac:dyDescent="0.2">
      <c r="A177" s="1"/>
      <c r="B177" s="1"/>
      <c r="C177" s="3"/>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spans="1:69" ht="15.75" customHeight="1" x14ac:dyDescent="0.2">
      <c r="A178" s="1"/>
      <c r="B178" s="1"/>
      <c r="C178" s="3"/>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spans="1:69" ht="15.75" customHeight="1" x14ac:dyDescent="0.2">
      <c r="A179" s="1"/>
      <c r="B179" s="1"/>
      <c r="C179" s="3"/>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spans="1:69" ht="15.75" customHeight="1" x14ac:dyDescent="0.2">
      <c r="A180" s="1"/>
      <c r="B180" s="1"/>
      <c r="C180" s="3"/>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spans="1:69" ht="15.75" customHeight="1" x14ac:dyDescent="0.2">
      <c r="A181" s="1"/>
      <c r="B181" s="1"/>
      <c r="C181" s="3"/>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spans="1:69" ht="15.75" customHeight="1" x14ac:dyDescent="0.2">
      <c r="A182" s="1"/>
      <c r="B182" s="1"/>
      <c r="C182" s="3"/>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spans="1:69" ht="15.75" customHeight="1" x14ac:dyDescent="0.2">
      <c r="A183" s="1"/>
      <c r="B183" s="1"/>
      <c r="C183" s="3"/>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spans="1:69" ht="15.75" customHeight="1" x14ac:dyDescent="0.2">
      <c r="A184" s="1"/>
      <c r="B184" s="1"/>
      <c r="C184" s="3"/>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spans="1:69" ht="15.75" customHeight="1" x14ac:dyDescent="0.2">
      <c r="A185" s="1"/>
      <c r="B185" s="1"/>
      <c r="C185" s="3"/>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spans="1:69" ht="15.75" customHeight="1" x14ac:dyDescent="0.2">
      <c r="A186" s="1"/>
      <c r="B186" s="1"/>
      <c r="C186" s="3"/>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spans="1:69" ht="15.75" customHeight="1" x14ac:dyDescent="0.2">
      <c r="A187" s="1"/>
      <c r="B187" s="1"/>
      <c r="C187" s="3"/>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spans="1:69" ht="15.75" customHeight="1" x14ac:dyDescent="0.2">
      <c r="A188" s="1"/>
      <c r="B188" s="1"/>
      <c r="C188" s="3"/>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spans="1:69" ht="15.75" customHeight="1" x14ac:dyDescent="0.2">
      <c r="A189" s="1"/>
      <c r="B189" s="1"/>
      <c r="C189" s="3"/>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spans="1:69" ht="15.75" customHeight="1" x14ac:dyDescent="0.2">
      <c r="A190" s="1"/>
      <c r="B190" s="1"/>
      <c r="C190" s="3"/>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spans="1:69" ht="15.75" customHeight="1" x14ac:dyDescent="0.2">
      <c r="A191" s="1"/>
      <c r="B191" s="1"/>
      <c r="C191" s="3"/>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spans="1:69" ht="15.75" customHeight="1" x14ac:dyDescent="0.2">
      <c r="A192" s="1"/>
      <c r="B192" s="1"/>
      <c r="C192" s="3"/>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spans="1:69" ht="15.75" customHeight="1" x14ac:dyDescent="0.2">
      <c r="A193" s="1"/>
      <c r="B193" s="1"/>
      <c r="C193" s="3"/>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spans="1:69" ht="15.75" customHeight="1" x14ac:dyDescent="0.2">
      <c r="A194" s="1"/>
      <c r="B194" s="1"/>
      <c r="C194" s="3"/>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spans="1:69" ht="15.75" customHeight="1" x14ac:dyDescent="0.2">
      <c r="A195" s="1"/>
      <c r="B195" s="1"/>
      <c r="C195" s="3"/>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spans="1:69" ht="15.75" customHeight="1" x14ac:dyDescent="0.2">
      <c r="A196" s="1"/>
      <c r="B196" s="1"/>
      <c r="C196" s="3"/>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spans="1:69" ht="15.75" customHeight="1" x14ac:dyDescent="0.2">
      <c r="A197" s="1"/>
      <c r="B197" s="1"/>
      <c r="C197" s="3"/>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spans="1:69" ht="15.75" customHeight="1" x14ac:dyDescent="0.2">
      <c r="A198" s="1"/>
      <c r="B198" s="1"/>
      <c r="C198" s="3"/>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spans="1:69" ht="15.75" customHeight="1" x14ac:dyDescent="0.2">
      <c r="A199" s="1"/>
      <c r="B199" s="1"/>
      <c r="C199" s="3"/>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spans="1:69" ht="15.75" customHeight="1" x14ac:dyDescent="0.2">
      <c r="A200" s="1"/>
      <c r="B200" s="1"/>
      <c r="C200" s="3"/>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spans="1:69" ht="15.75" customHeight="1" x14ac:dyDescent="0.2">
      <c r="A201" s="1"/>
      <c r="B201" s="1"/>
      <c r="C201" s="3"/>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spans="1:69" ht="15.75" customHeight="1" x14ac:dyDescent="0.2">
      <c r="A202" s="1"/>
      <c r="B202" s="1"/>
      <c r="C202" s="3"/>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spans="1:69" ht="15.75" customHeight="1" x14ac:dyDescent="0.2">
      <c r="A203" s="1"/>
      <c r="B203" s="1"/>
      <c r="C203" s="3"/>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spans="1:69" ht="15.75" customHeight="1" x14ac:dyDescent="0.2">
      <c r="A204" s="1"/>
      <c r="B204" s="1"/>
      <c r="C204" s="3"/>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spans="1:69" ht="15.75" customHeight="1" x14ac:dyDescent="0.2">
      <c r="A205" s="1"/>
      <c r="B205" s="1"/>
      <c r="C205" s="3"/>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spans="1:69" ht="15.75" customHeight="1" x14ac:dyDescent="0.2">
      <c r="A206" s="1"/>
      <c r="B206" s="1"/>
      <c r="C206" s="3"/>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spans="1:69" ht="15.75" customHeight="1" x14ac:dyDescent="0.2">
      <c r="A207" s="1"/>
      <c r="B207" s="1"/>
      <c r="C207" s="3"/>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spans="1:69" ht="15.75" customHeight="1" x14ac:dyDescent="0.2">
      <c r="A208" s="1"/>
      <c r="B208" s="1"/>
      <c r="C208" s="3"/>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spans="1:69" ht="15.75" customHeight="1" x14ac:dyDescent="0.2">
      <c r="A209" s="1"/>
      <c r="B209" s="1"/>
      <c r="C209" s="3"/>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spans="1:69" ht="15.75" customHeight="1" x14ac:dyDescent="0.2">
      <c r="A210" s="1"/>
      <c r="B210" s="1"/>
      <c r="C210" s="3"/>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spans="1:69" ht="15.75" customHeight="1" x14ac:dyDescent="0.2">
      <c r="A211" s="1"/>
      <c r="B211" s="1"/>
      <c r="C211" s="3"/>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spans="1:69" ht="15.75" customHeight="1" x14ac:dyDescent="0.2">
      <c r="A212" s="1"/>
      <c r="B212" s="1"/>
      <c r="C212" s="3"/>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spans="1:69" ht="15.75" customHeight="1" x14ac:dyDescent="0.2">
      <c r="A213" s="1"/>
      <c r="B213" s="1"/>
      <c r="C213" s="3"/>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spans="1:69" ht="15.75" customHeight="1" x14ac:dyDescent="0.2">
      <c r="A214" s="1"/>
      <c r="B214" s="1"/>
      <c r="C214" s="3"/>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spans="1:69" ht="15.75" customHeight="1" x14ac:dyDescent="0.2">
      <c r="A215" s="1"/>
      <c r="B215" s="1"/>
      <c r="C215" s="3"/>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spans="1:69" ht="15.75" customHeight="1" x14ac:dyDescent="0.2">
      <c r="A216" s="1"/>
      <c r="B216" s="1"/>
      <c r="C216" s="3"/>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spans="1:69" ht="15.75" customHeight="1" x14ac:dyDescent="0.2">
      <c r="A217" s="1"/>
      <c r="B217" s="1"/>
      <c r="C217" s="3"/>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spans="1:69" ht="15.75" customHeight="1" x14ac:dyDescent="0.2">
      <c r="A218" s="1"/>
      <c r="B218" s="1"/>
      <c r="C218" s="3"/>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spans="1:69" ht="15.75" customHeight="1" x14ac:dyDescent="0.2">
      <c r="A219" s="1"/>
      <c r="B219" s="1"/>
      <c r="C219" s="3"/>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spans="1:69" ht="15.75" customHeight="1" x14ac:dyDescent="0.2">
      <c r="A220" s="1"/>
      <c r="B220" s="1"/>
      <c r="C220" s="3"/>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spans="1:69" ht="15.75" customHeight="1" x14ac:dyDescent="0.2">
      <c r="A221" s="1"/>
      <c r="B221" s="1"/>
      <c r="C221" s="3"/>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spans="1:69" ht="15.75" customHeight="1" x14ac:dyDescent="0.2">
      <c r="A222" s="1"/>
      <c r="B222" s="1"/>
      <c r="C222" s="3"/>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spans="1:69" ht="15.75" customHeight="1" x14ac:dyDescent="0.2">
      <c r="A223" s="1"/>
      <c r="B223" s="1"/>
      <c r="C223" s="3"/>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spans="1:69" ht="15.75" customHeight="1" x14ac:dyDescent="0.2">
      <c r="A224" s="1"/>
      <c r="B224" s="1"/>
      <c r="C224" s="3"/>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spans="1:69" ht="15.75" customHeight="1" x14ac:dyDescent="0.2">
      <c r="A225" s="1"/>
      <c r="B225" s="1"/>
      <c r="C225" s="3"/>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spans="1:69" ht="15.75" customHeight="1" x14ac:dyDescent="0.2">
      <c r="A226" s="1"/>
      <c r="B226" s="1"/>
      <c r="C226" s="3"/>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spans="1:69" ht="15.75" customHeight="1" x14ac:dyDescent="0.2">
      <c r="A227" s="1"/>
      <c r="B227" s="1"/>
      <c r="C227" s="3"/>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spans="1:69" ht="15.75" customHeight="1" x14ac:dyDescent="0.2">
      <c r="A228" s="1"/>
      <c r="B228" s="1"/>
      <c r="C228" s="3"/>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spans="1:69" ht="15.75" customHeight="1" x14ac:dyDescent="0.2">
      <c r="A229" s="1"/>
      <c r="B229" s="1"/>
      <c r="C229" s="3"/>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spans="1:69" ht="15.75" customHeight="1" x14ac:dyDescent="0.2">
      <c r="A230" s="1"/>
      <c r="B230" s="1"/>
      <c r="C230" s="3"/>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spans="1:69" ht="15.75" customHeight="1" x14ac:dyDescent="0.2">
      <c r="A231" s="1"/>
      <c r="B231" s="1"/>
      <c r="C231" s="3"/>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spans="1:69" ht="15.75" customHeight="1" x14ac:dyDescent="0.2">
      <c r="A232" s="1"/>
      <c r="B232" s="1"/>
      <c r="C232" s="3"/>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spans="1:69" ht="15.75" customHeight="1" x14ac:dyDescent="0.2">
      <c r="A233" s="1"/>
      <c r="B233" s="1"/>
      <c r="C233" s="3"/>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spans="1:69" ht="15.75" customHeight="1" x14ac:dyDescent="0.2">
      <c r="A234" s="1"/>
      <c r="B234" s="1"/>
      <c r="C234" s="3"/>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spans="1:69" ht="15.75" customHeight="1" x14ac:dyDescent="0.2">
      <c r="A235" s="1"/>
      <c r="B235" s="1"/>
      <c r="C235" s="3"/>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spans="1:69" ht="15.75" customHeight="1" x14ac:dyDescent="0.2">
      <c r="A236" s="1"/>
      <c r="B236" s="1"/>
      <c r="C236" s="3"/>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spans="1:69" ht="15.75" customHeight="1" x14ac:dyDescent="0.2">
      <c r="A237" s="1"/>
      <c r="B237" s="1"/>
      <c r="C237" s="3"/>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spans="1:69" ht="15.75" customHeight="1" x14ac:dyDescent="0.2">
      <c r="A238" s="1"/>
      <c r="B238" s="1"/>
      <c r="C238" s="3"/>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spans="1:69" ht="15.75" customHeight="1" x14ac:dyDescent="0.2">
      <c r="A239" s="1"/>
      <c r="B239" s="1"/>
      <c r="C239" s="3"/>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spans="1:69" ht="15.75" customHeight="1" x14ac:dyDescent="0.2">
      <c r="A240" s="1"/>
      <c r="B240" s="1"/>
      <c r="C240" s="3"/>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spans="1:69" ht="15.75" customHeight="1" x14ac:dyDescent="0.2">
      <c r="A241" s="1"/>
      <c r="B241" s="1"/>
      <c r="C241" s="3"/>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spans="1:69" ht="15.75" customHeight="1" x14ac:dyDescent="0.2">
      <c r="A242" s="1"/>
      <c r="B242" s="1"/>
      <c r="C242" s="3"/>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spans="1:69" ht="15.75" customHeight="1" x14ac:dyDescent="0.2">
      <c r="A243" s="1"/>
      <c r="B243" s="1"/>
      <c r="C243" s="3"/>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spans="1:69" ht="15.75" customHeight="1" x14ac:dyDescent="0.2">
      <c r="A244" s="1"/>
      <c r="B244" s="1"/>
      <c r="C244" s="3"/>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spans="1:69" ht="15.75" customHeight="1" x14ac:dyDescent="0.2">
      <c r="A245" s="1"/>
      <c r="B245" s="1"/>
      <c r="C245" s="3"/>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spans="1:69" ht="15.75" customHeight="1" x14ac:dyDescent="0.2">
      <c r="A246" s="1"/>
      <c r="B246" s="1"/>
      <c r="C246" s="3"/>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spans="1:69" ht="15.75" customHeight="1" x14ac:dyDescent="0.2">
      <c r="A247" s="1"/>
      <c r="B247" s="1"/>
      <c r="C247" s="3"/>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spans="1:69" ht="15.75" customHeight="1" x14ac:dyDescent="0.2">
      <c r="A248" s="1"/>
      <c r="B248" s="1"/>
      <c r="C248" s="3"/>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spans="1:69" ht="15.75" customHeight="1" x14ac:dyDescent="0.2">
      <c r="A249" s="1"/>
      <c r="B249" s="1"/>
      <c r="C249" s="3"/>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spans="1:69" ht="15.75" customHeight="1" x14ac:dyDescent="0.2">
      <c r="A250" s="1"/>
      <c r="B250" s="1"/>
      <c r="C250" s="3"/>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spans="1:69" ht="15.75" customHeight="1" x14ac:dyDescent="0.2">
      <c r="A251" s="1"/>
      <c r="B251" s="1"/>
      <c r="C251" s="3"/>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spans="1:69" ht="15.75" customHeight="1" x14ac:dyDescent="0.2">
      <c r="A252" s="1"/>
      <c r="B252" s="1"/>
      <c r="C252" s="3"/>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spans="1:69" ht="15.75" customHeight="1" x14ac:dyDescent="0.2">
      <c r="A253" s="1"/>
      <c r="B253" s="1"/>
      <c r="C253" s="3"/>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spans="1:69" ht="15.75" customHeight="1" x14ac:dyDescent="0.2">
      <c r="A254" s="1"/>
      <c r="B254" s="1"/>
      <c r="C254" s="3"/>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spans="1:69" ht="15.75" customHeight="1" x14ac:dyDescent="0.2">
      <c r="A255" s="1"/>
      <c r="B255" s="1"/>
      <c r="C255" s="3"/>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spans="1:69" ht="15.75" customHeight="1" x14ac:dyDescent="0.2">
      <c r="A256" s="1"/>
      <c r="B256" s="1"/>
      <c r="C256" s="3"/>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spans="1:69" ht="15.75" customHeight="1" x14ac:dyDescent="0.2">
      <c r="A257" s="1"/>
      <c r="B257" s="1"/>
      <c r="C257" s="3"/>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spans="1:69" ht="15.75" customHeight="1" x14ac:dyDescent="0.2">
      <c r="A258" s="1"/>
      <c r="B258" s="1"/>
      <c r="C258" s="3"/>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spans="1:69" ht="15.75" customHeight="1" x14ac:dyDescent="0.2">
      <c r="A259" s="1"/>
      <c r="B259" s="1"/>
      <c r="C259" s="3"/>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spans="1:69" ht="15.75" customHeight="1" x14ac:dyDescent="0.2">
      <c r="A260" s="1"/>
      <c r="B260" s="1"/>
      <c r="C260" s="3"/>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spans="1:69" ht="15.75" customHeight="1" x14ac:dyDescent="0.2">
      <c r="A261" s="1"/>
      <c r="B261" s="1"/>
      <c r="C261" s="3"/>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spans="1:69" ht="15.75" customHeight="1" x14ac:dyDescent="0.2">
      <c r="A262" s="1"/>
      <c r="B262" s="1"/>
      <c r="C262" s="3"/>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spans="1:69" ht="15.75" customHeight="1" x14ac:dyDescent="0.2">
      <c r="A263" s="1"/>
      <c r="B263" s="1"/>
      <c r="C263" s="3"/>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spans="1:69" ht="15.75" customHeight="1" x14ac:dyDescent="0.2">
      <c r="A264" s="1"/>
      <c r="B264" s="1"/>
      <c r="C264" s="3"/>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spans="1:69" ht="15.75" customHeight="1" x14ac:dyDescent="0.2">
      <c r="A265" s="1"/>
      <c r="B265" s="1"/>
      <c r="C265" s="3"/>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spans="1:69" ht="15.75" customHeight="1" x14ac:dyDescent="0.2">
      <c r="A266" s="1"/>
      <c r="B266" s="1"/>
      <c r="C266" s="3"/>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spans="1:69" ht="15.75" customHeight="1" x14ac:dyDescent="0.2">
      <c r="A267" s="1"/>
      <c r="B267" s="1"/>
      <c r="C267" s="3"/>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spans="1:69" ht="15.75" customHeight="1" x14ac:dyDescent="0.2">
      <c r="A268" s="1"/>
      <c r="B268" s="1"/>
      <c r="C268" s="3"/>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spans="1:69" ht="15.75" customHeight="1" x14ac:dyDescent="0.2">
      <c r="A269" s="1"/>
      <c r="B269" s="1"/>
      <c r="C269" s="3"/>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spans="1:69" ht="15.75" customHeight="1" x14ac:dyDescent="0.2">
      <c r="A270" s="1"/>
      <c r="B270" s="1"/>
      <c r="C270" s="3"/>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spans="1:69" ht="15.75" customHeight="1" x14ac:dyDescent="0.2">
      <c r="A271" s="1"/>
      <c r="B271" s="1"/>
      <c r="C271" s="3"/>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spans="1:69" ht="15.75" customHeight="1" x14ac:dyDescent="0.2">
      <c r="A272" s="1"/>
      <c r="B272" s="1"/>
      <c r="C272" s="3"/>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spans="1:69" ht="15.75" customHeight="1" x14ac:dyDescent="0.2">
      <c r="A273" s="1"/>
      <c r="B273" s="1"/>
      <c r="C273" s="3"/>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spans="1:69" ht="15.75" customHeight="1" x14ac:dyDescent="0.2">
      <c r="A274" s="1"/>
      <c r="B274" s="1"/>
      <c r="C274" s="3"/>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spans="1:69" ht="15.75" customHeight="1" x14ac:dyDescent="0.2">
      <c r="A275" s="1"/>
      <c r="B275" s="1"/>
      <c r="C275" s="3"/>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spans="1:69" ht="15.75" customHeight="1" x14ac:dyDescent="0.2">
      <c r="A276" s="1"/>
      <c r="B276" s="1"/>
      <c r="C276" s="3"/>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spans="1:69" ht="15.75" customHeight="1" x14ac:dyDescent="0.2">
      <c r="A277" s="1"/>
      <c r="B277" s="1"/>
      <c r="C277" s="3"/>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spans="1:69" ht="15.75" customHeight="1" x14ac:dyDescent="0.2">
      <c r="A278" s="1"/>
      <c r="B278" s="1"/>
      <c r="C278" s="3"/>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spans="1:69" ht="15.75" customHeight="1" x14ac:dyDescent="0.2">
      <c r="A279" s="1"/>
      <c r="B279" s="1"/>
      <c r="C279" s="3"/>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spans="1:69" ht="15.75" customHeight="1" x14ac:dyDescent="0.2">
      <c r="A280" s="1"/>
      <c r="B280" s="1"/>
      <c r="C280" s="3"/>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spans="1:69" ht="15.75" customHeight="1" x14ac:dyDescent="0.2">
      <c r="A281" s="1"/>
      <c r="B281" s="1"/>
      <c r="C281" s="3"/>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spans="1:69" ht="15.75" customHeight="1" x14ac:dyDescent="0.2">
      <c r="A282" s="1"/>
      <c r="B282" s="1"/>
      <c r="C282" s="3"/>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spans="1:69" ht="15.75" customHeight="1" x14ac:dyDescent="0.2">
      <c r="A283" s="1"/>
      <c r="B283" s="1"/>
      <c r="C283" s="3"/>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spans="1:69" ht="15.75" customHeight="1" x14ac:dyDescent="0.2">
      <c r="A284" s="1"/>
      <c r="B284" s="1"/>
      <c r="C284" s="3"/>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spans="1:69" ht="15.75" customHeight="1" x14ac:dyDescent="0.2">
      <c r="A285" s="1"/>
      <c r="B285" s="1"/>
      <c r="C285" s="3"/>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spans="1:69" ht="15.75" customHeight="1" x14ac:dyDescent="0.2">
      <c r="A286" s="1"/>
      <c r="B286" s="1"/>
      <c r="C286" s="3"/>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spans="1:69" ht="15.75" customHeight="1" x14ac:dyDescent="0.2">
      <c r="A287" s="1"/>
      <c r="B287" s="1"/>
      <c r="C287" s="3"/>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spans="1:69" ht="15.75" customHeight="1" x14ac:dyDescent="0.2">
      <c r="A288" s="1"/>
      <c r="B288" s="1"/>
      <c r="C288" s="3"/>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spans="1:69" ht="15.75" customHeight="1" x14ac:dyDescent="0.2">
      <c r="A289" s="1"/>
      <c r="B289" s="1"/>
      <c r="C289" s="3"/>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spans="1:69" ht="15.75" customHeight="1" x14ac:dyDescent="0.2">
      <c r="A290" s="1"/>
      <c r="B290" s="1"/>
      <c r="C290" s="3"/>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spans="1:69" ht="15.75" customHeight="1" x14ac:dyDescent="0.2">
      <c r="A291" s="1"/>
      <c r="B291" s="1"/>
      <c r="C291" s="3"/>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spans="1:69" ht="15.75" customHeight="1" x14ac:dyDescent="0.2">
      <c r="A292" s="1"/>
      <c r="B292" s="1"/>
      <c r="C292" s="3"/>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spans="1:69" ht="15.75" customHeight="1" x14ac:dyDescent="0.2">
      <c r="A293" s="1"/>
      <c r="B293" s="1"/>
      <c r="C293" s="3"/>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spans="1:69" ht="15.75" customHeight="1" x14ac:dyDescent="0.2">
      <c r="A294" s="1"/>
      <c r="B294" s="1"/>
      <c r="C294" s="3"/>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spans="1:69" ht="15.75" customHeight="1" x14ac:dyDescent="0.2">
      <c r="A295" s="1"/>
      <c r="B295" s="1"/>
      <c r="C295" s="3"/>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spans="1:69" ht="15.75" customHeight="1" x14ac:dyDescent="0.2">
      <c r="A296" s="1"/>
      <c r="B296" s="1"/>
      <c r="C296" s="3"/>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spans="1:69" ht="15.75" customHeight="1" x14ac:dyDescent="0.2">
      <c r="A297" s="1"/>
      <c r="B297" s="1"/>
      <c r="C297" s="3"/>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spans="1:69" ht="15.75" customHeight="1" x14ac:dyDescent="0.2">
      <c r="A298" s="1"/>
      <c r="B298" s="1"/>
      <c r="C298" s="3"/>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spans="1:69" ht="15.75" customHeight="1" x14ac:dyDescent="0.2">
      <c r="A299" s="1"/>
      <c r="B299" s="1"/>
      <c r="C299" s="3"/>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spans="1:69" ht="15.75" customHeight="1" x14ac:dyDescent="0.2">
      <c r="A300" s="1"/>
      <c r="B300" s="1"/>
      <c r="C300" s="3"/>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spans="1:69" ht="15.75" customHeight="1" x14ac:dyDescent="0.2">
      <c r="A301" s="1"/>
      <c r="B301" s="1"/>
      <c r="C301" s="3"/>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spans="1:69" ht="15.75" customHeight="1" x14ac:dyDescent="0.2">
      <c r="A302" s="1"/>
      <c r="B302" s="1"/>
      <c r="C302" s="3"/>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spans="1:69" ht="15.75" customHeight="1" x14ac:dyDescent="0.2">
      <c r="A303" s="1"/>
      <c r="B303" s="1"/>
      <c r="C303" s="3"/>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spans="1:69" ht="15.75" customHeight="1" x14ac:dyDescent="0.2">
      <c r="A304" s="1"/>
      <c r="B304" s="1"/>
      <c r="C304" s="3"/>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spans="1:69" ht="15.75" customHeight="1" x14ac:dyDescent="0.2">
      <c r="A305" s="1"/>
      <c r="B305" s="1"/>
      <c r="C305" s="3"/>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spans="1:69" ht="15.75" customHeight="1" x14ac:dyDescent="0.2">
      <c r="A306" s="1"/>
      <c r="B306" s="1"/>
      <c r="C306" s="3"/>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spans="1:69" ht="15.75" customHeight="1" x14ac:dyDescent="0.2">
      <c r="A307" s="1"/>
      <c r="B307" s="1"/>
      <c r="C307" s="3"/>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spans="1:69" ht="15.75" customHeight="1" x14ac:dyDescent="0.2">
      <c r="A308" s="1"/>
      <c r="B308" s="1"/>
      <c r="C308" s="3"/>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spans="1:69" ht="15.75" customHeight="1" x14ac:dyDescent="0.2">
      <c r="A309" s="1"/>
      <c r="B309" s="1"/>
      <c r="C309" s="3"/>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spans="1:69" ht="15.75" customHeight="1" x14ac:dyDescent="0.2">
      <c r="A310" s="1"/>
      <c r="B310" s="1"/>
      <c r="C310" s="3"/>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spans="1:69" ht="15.75" customHeight="1" x14ac:dyDescent="0.2">
      <c r="A311" s="1"/>
      <c r="B311" s="1"/>
      <c r="C311" s="3"/>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spans="1:69" ht="15.75" customHeight="1" x14ac:dyDescent="0.2">
      <c r="A312" s="1"/>
      <c r="B312" s="1"/>
      <c r="C312" s="3"/>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spans="1:69" ht="15.75" customHeight="1" x14ac:dyDescent="0.2">
      <c r="A313" s="1"/>
      <c r="B313" s="1"/>
      <c r="C313" s="3"/>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spans="1:69" ht="15.75" customHeight="1" x14ac:dyDescent="0.2">
      <c r="A314" s="1"/>
      <c r="B314" s="1"/>
      <c r="C314" s="3"/>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spans="1:69" ht="15.75" customHeight="1" x14ac:dyDescent="0.2">
      <c r="A315" s="1"/>
      <c r="B315" s="1"/>
      <c r="C315" s="3"/>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spans="1:69" ht="15.75" customHeight="1" x14ac:dyDescent="0.2">
      <c r="A316" s="1"/>
      <c r="B316" s="1"/>
      <c r="C316" s="3"/>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spans="1:69" ht="15.75" customHeight="1" x14ac:dyDescent="0.2">
      <c r="A317" s="1"/>
      <c r="B317" s="1"/>
      <c r="C317" s="3"/>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spans="1:69" ht="15.75" customHeight="1" x14ac:dyDescent="0.2">
      <c r="A318" s="1"/>
      <c r="B318" s="1"/>
      <c r="C318" s="3"/>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spans="1:69" ht="15.75" customHeight="1" x14ac:dyDescent="0.2">
      <c r="A319" s="1"/>
      <c r="B319" s="1"/>
      <c r="C319" s="3"/>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spans="1:69" ht="15.75" customHeight="1" x14ac:dyDescent="0.2">
      <c r="A320" s="1"/>
      <c r="B320" s="1"/>
      <c r="C320" s="3"/>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spans="1:69" ht="15.75" customHeight="1" x14ac:dyDescent="0.2">
      <c r="A321" s="1"/>
      <c r="B321" s="1"/>
      <c r="C321" s="3"/>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spans="1:69" ht="15.75" customHeight="1" x14ac:dyDescent="0.2">
      <c r="A322" s="1"/>
      <c r="B322" s="1"/>
      <c r="C322" s="3"/>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spans="1:69" ht="15.75" customHeight="1" x14ac:dyDescent="0.2">
      <c r="A323" s="1"/>
      <c r="B323" s="1"/>
      <c r="C323" s="3"/>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spans="1:69" ht="15.75" customHeight="1" x14ac:dyDescent="0.2">
      <c r="A324" s="1"/>
      <c r="B324" s="1"/>
      <c r="C324" s="3"/>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spans="1:69" ht="15.75" customHeight="1" x14ac:dyDescent="0.2">
      <c r="A325" s="1"/>
      <c r="B325" s="1"/>
      <c r="C325" s="3"/>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spans="1:69" ht="15.75" customHeight="1" x14ac:dyDescent="0.2">
      <c r="A326" s="1"/>
      <c r="B326" s="1"/>
      <c r="C326" s="3"/>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spans="1:69" ht="15.75" customHeight="1" x14ac:dyDescent="0.2">
      <c r="A327" s="1"/>
      <c r="B327" s="1"/>
      <c r="C327" s="3"/>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spans="1:69" ht="15.75" customHeight="1" x14ac:dyDescent="0.2">
      <c r="A328" s="1"/>
      <c r="B328" s="1"/>
      <c r="C328" s="3"/>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spans="1:69" ht="15.75" customHeight="1" x14ac:dyDescent="0.2">
      <c r="A329" s="1"/>
      <c r="B329" s="1"/>
      <c r="C329" s="3"/>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spans="1:69" ht="15.75" customHeight="1" x14ac:dyDescent="0.2">
      <c r="A330" s="1"/>
      <c r="B330" s="1"/>
      <c r="C330" s="3"/>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spans="1:69" ht="15.75" customHeight="1" x14ac:dyDescent="0.2">
      <c r="A331" s="1"/>
      <c r="B331" s="1"/>
      <c r="C331" s="3"/>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spans="1:69" ht="15.75" customHeight="1" x14ac:dyDescent="0.2">
      <c r="A332" s="1"/>
      <c r="B332" s="1"/>
      <c r="C332" s="3"/>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spans="1:69" ht="15.75" customHeight="1" x14ac:dyDescent="0.2">
      <c r="A333" s="1"/>
      <c r="B333" s="1"/>
      <c r="C333" s="3"/>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spans="1:69" ht="15.75" customHeight="1" x14ac:dyDescent="0.2">
      <c r="A334" s="1"/>
      <c r="B334" s="1"/>
      <c r="C334" s="3"/>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spans="1:69" ht="15.75" customHeight="1" x14ac:dyDescent="0.2">
      <c r="A335" s="1"/>
      <c r="B335" s="1"/>
      <c r="C335" s="3"/>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spans="1:69" ht="15.75" customHeight="1" x14ac:dyDescent="0.2">
      <c r="A336" s="1"/>
      <c r="B336" s="1"/>
      <c r="C336" s="3"/>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spans="1:69" ht="15.75" customHeight="1" x14ac:dyDescent="0.2">
      <c r="A337" s="1"/>
      <c r="B337" s="1"/>
      <c r="C337" s="3"/>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spans="1:69" ht="15.75" customHeight="1" x14ac:dyDescent="0.2">
      <c r="A338" s="1"/>
      <c r="B338" s="1"/>
      <c r="C338" s="3"/>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spans="1:69" ht="15.75" customHeight="1" x14ac:dyDescent="0.2">
      <c r="A339" s="1"/>
      <c r="B339" s="1"/>
      <c r="C339" s="3"/>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spans="1:69" ht="15.75" customHeight="1" x14ac:dyDescent="0.2">
      <c r="A340" s="1"/>
      <c r="B340" s="1"/>
      <c r="C340" s="3"/>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spans="1:69" ht="15.75" customHeight="1" x14ac:dyDescent="0.2">
      <c r="A341" s="1"/>
      <c r="B341" s="1"/>
      <c r="C341" s="3"/>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spans="1:69" ht="15.75" customHeight="1" x14ac:dyDescent="0.2">
      <c r="A342" s="1"/>
      <c r="B342" s="1"/>
      <c r="C342" s="3"/>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spans="1:69" ht="15.75" customHeight="1" x14ac:dyDescent="0.2">
      <c r="A343" s="1"/>
      <c r="B343" s="1"/>
      <c r="C343" s="3"/>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spans="1:69" ht="15.75" customHeight="1" x14ac:dyDescent="0.2">
      <c r="A344" s="1"/>
      <c r="B344" s="1"/>
      <c r="C344" s="3"/>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spans="1:69" ht="15.75" customHeight="1" x14ac:dyDescent="0.2">
      <c r="A345" s="1"/>
      <c r="B345" s="1"/>
      <c r="C345" s="3"/>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spans="1:69" ht="15.75" customHeight="1" x14ac:dyDescent="0.2">
      <c r="A346" s="1"/>
      <c r="B346" s="1"/>
      <c r="C346" s="3"/>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spans="1:69" ht="15.75" customHeight="1" x14ac:dyDescent="0.2">
      <c r="A347" s="1"/>
      <c r="B347" s="1"/>
      <c r="C347" s="3"/>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spans="1:69" ht="15.75" customHeight="1" x14ac:dyDescent="0.2">
      <c r="A348" s="1"/>
      <c r="B348" s="1"/>
      <c r="C348" s="3"/>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spans="1:69" ht="15.75" customHeight="1" x14ac:dyDescent="0.2">
      <c r="A349" s="1"/>
      <c r="B349" s="1"/>
      <c r="C349" s="3"/>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spans="1:69" ht="15.75" customHeight="1" x14ac:dyDescent="0.2">
      <c r="A350" s="1"/>
      <c r="B350" s="1"/>
      <c r="C350" s="3"/>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spans="1:69" ht="15.75" customHeight="1" x14ac:dyDescent="0.2">
      <c r="A351" s="1"/>
      <c r="B351" s="1"/>
      <c r="C351" s="3"/>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spans="1:69" ht="15.75" customHeight="1" x14ac:dyDescent="0.2">
      <c r="A352" s="1"/>
      <c r="B352" s="1"/>
      <c r="C352" s="3"/>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spans="1:69" ht="15.75" customHeight="1" x14ac:dyDescent="0.2">
      <c r="A353" s="1"/>
      <c r="B353" s="1"/>
      <c r="C353" s="3"/>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spans="1:69" ht="15.75" customHeight="1" x14ac:dyDescent="0.2">
      <c r="A354" s="1"/>
      <c r="B354" s="1"/>
      <c r="C354" s="3"/>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spans="1:69" ht="15.75" customHeight="1" x14ac:dyDescent="0.2">
      <c r="A355" s="1"/>
      <c r="B355" s="1"/>
      <c r="C355" s="3"/>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spans="1:69" ht="15.75" customHeight="1" x14ac:dyDescent="0.2">
      <c r="A356" s="1"/>
      <c r="B356" s="1"/>
      <c r="C356" s="3"/>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spans="1:69" ht="15.75" customHeight="1" x14ac:dyDescent="0.2">
      <c r="A357" s="1"/>
      <c r="B357" s="1"/>
      <c r="C357" s="3"/>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spans="1:69" ht="15.75" customHeight="1" x14ac:dyDescent="0.2">
      <c r="A358" s="1"/>
      <c r="B358" s="1"/>
      <c r="C358" s="3"/>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spans="1:69" ht="15.75" customHeight="1" x14ac:dyDescent="0.2">
      <c r="A359" s="1"/>
      <c r="B359" s="1"/>
      <c r="C359" s="3"/>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spans="1:69" ht="15.75" customHeight="1" x14ac:dyDescent="0.2">
      <c r="A360" s="1"/>
      <c r="B360" s="1"/>
      <c r="C360" s="3"/>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spans="1:69" ht="15.75" customHeight="1" x14ac:dyDescent="0.2">
      <c r="A361" s="1"/>
      <c r="B361" s="1"/>
      <c r="C361" s="3"/>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spans="1:69" ht="15.75" customHeight="1" x14ac:dyDescent="0.2">
      <c r="A362" s="1"/>
      <c r="B362" s="1"/>
      <c r="C362" s="3"/>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spans="1:69" ht="15.75" customHeight="1" x14ac:dyDescent="0.2">
      <c r="A363" s="1"/>
      <c r="B363" s="1"/>
      <c r="C363" s="3"/>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spans="1:69" ht="15.75" customHeight="1" x14ac:dyDescent="0.2">
      <c r="A364" s="1"/>
      <c r="B364" s="1"/>
      <c r="C364" s="3"/>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spans="1:69" ht="15.75" customHeight="1" x14ac:dyDescent="0.2">
      <c r="A365" s="1"/>
      <c r="B365" s="1"/>
      <c r="C365" s="3"/>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spans="1:69" ht="15.75" customHeight="1" x14ac:dyDescent="0.2">
      <c r="A366" s="1"/>
      <c r="B366" s="1"/>
      <c r="C366" s="3"/>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spans="1:69" ht="15.75" customHeight="1" x14ac:dyDescent="0.2">
      <c r="A367" s="1"/>
      <c r="B367" s="1"/>
      <c r="C367" s="3"/>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spans="1:69" ht="15.75" customHeight="1" x14ac:dyDescent="0.2">
      <c r="A368" s="1"/>
      <c r="B368" s="1"/>
      <c r="C368" s="3"/>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spans="1:69" ht="15.75" customHeight="1" x14ac:dyDescent="0.2">
      <c r="A369" s="1"/>
      <c r="B369" s="1"/>
      <c r="C369" s="3"/>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spans="1:69" ht="15.75" customHeight="1" x14ac:dyDescent="0.2">
      <c r="A370" s="1"/>
      <c r="B370" s="1"/>
      <c r="C370" s="3"/>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spans="1:69" ht="15.75" customHeight="1" x14ac:dyDescent="0.2">
      <c r="A371" s="1"/>
      <c r="B371" s="1"/>
      <c r="C371" s="3"/>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spans="1:69" ht="15.75" customHeight="1" x14ac:dyDescent="0.2">
      <c r="A372" s="1"/>
      <c r="B372" s="1"/>
      <c r="C372" s="3"/>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spans="1:69" ht="15.75" customHeight="1" x14ac:dyDescent="0.2">
      <c r="A373" s="1"/>
      <c r="B373" s="1"/>
      <c r="C373" s="3"/>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spans="1:69" ht="15.75" customHeight="1" x14ac:dyDescent="0.2">
      <c r="A374" s="1"/>
      <c r="B374" s="1"/>
      <c r="C374" s="3"/>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spans="1:69" ht="15.75" customHeight="1" x14ac:dyDescent="0.2">
      <c r="A375" s="1"/>
      <c r="B375" s="1"/>
      <c r="C375" s="3"/>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spans="1:69" ht="15.75" customHeight="1" x14ac:dyDescent="0.2">
      <c r="A376" s="1"/>
      <c r="B376" s="1"/>
      <c r="C376" s="3"/>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spans="1:69" ht="15.75" customHeight="1" x14ac:dyDescent="0.2">
      <c r="A377" s="1"/>
      <c r="B377" s="1"/>
      <c r="C377" s="3"/>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spans="1:69" ht="15.75" customHeight="1" x14ac:dyDescent="0.2">
      <c r="A378" s="1"/>
      <c r="B378" s="1"/>
      <c r="C378" s="3"/>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spans="1:69" ht="15.75" customHeight="1" x14ac:dyDescent="0.2">
      <c r="A379" s="1"/>
      <c r="B379" s="1"/>
      <c r="C379" s="3"/>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spans="1:69" ht="15.75" customHeight="1" x14ac:dyDescent="0.2">
      <c r="A380" s="1"/>
      <c r="B380" s="1"/>
      <c r="C380" s="3"/>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spans="1:69" ht="15.75" customHeight="1" x14ac:dyDescent="0.2">
      <c r="A381" s="1"/>
      <c r="B381" s="1"/>
      <c r="C381" s="3"/>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spans="1:69" ht="15.75" customHeight="1" x14ac:dyDescent="0.2">
      <c r="A382" s="1"/>
      <c r="B382" s="1"/>
      <c r="C382" s="3"/>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spans="1:69" ht="15.75" customHeight="1" x14ac:dyDescent="0.2">
      <c r="A383" s="1"/>
      <c r="B383" s="1"/>
      <c r="C383" s="3"/>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spans="1:69" ht="15.75" customHeight="1" x14ac:dyDescent="0.2">
      <c r="A384" s="1"/>
      <c r="B384" s="1"/>
      <c r="C384" s="3"/>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spans="1:69" ht="15.75" customHeight="1" x14ac:dyDescent="0.2">
      <c r="A385" s="1"/>
      <c r="B385" s="1"/>
      <c r="C385" s="3"/>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spans="1:69" ht="15.75" customHeight="1" x14ac:dyDescent="0.2">
      <c r="A386" s="1"/>
      <c r="B386" s="1"/>
      <c r="C386" s="3"/>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spans="1:69" ht="15.75" customHeight="1" x14ac:dyDescent="0.2">
      <c r="A387" s="1"/>
      <c r="B387" s="1"/>
      <c r="C387" s="3"/>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spans="1:69" ht="15.75" customHeight="1" x14ac:dyDescent="0.2">
      <c r="A388" s="1"/>
      <c r="B388" s="1"/>
      <c r="C388" s="3"/>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spans="1:69" ht="15.75" customHeight="1" x14ac:dyDescent="0.2">
      <c r="A389" s="1"/>
      <c r="B389" s="1"/>
      <c r="C389" s="3"/>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spans="1:69" ht="15.75" customHeight="1" x14ac:dyDescent="0.2">
      <c r="A390" s="1"/>
      <c r="B390" s="1"/>
      <c r="C390" s="3"/>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spans="1:69" ht="15.75" customHeight="1" x14ac:dyDescent="0.2">
      <c r="A391" s="1"/>
      <c r="B391" s="1"/>
      <c r="C391" s="3"/>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spans="1:69" ht="15.75" customHeight="1" x14ac:dyDescent="0.2">
      <c r="A392" s="1"/>
      <c r="B392" s="1"/>
      <c r="C392" s="3"/>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spans="1:69" ht="15.75" customHeight="1" x14ac:dyDescent="0.2">
      <c r="A393" s="1"/>
      <c r="B393" s="1"/>
      <c r="C393" s="3"/>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spans="1:69" ht="15.75" customHeight="1" x14ac:dyDescent="0.2">
      <c r="A394" s="1"/>
      <c r="B394" s="1"/>
      <c r="C394" s="3"/>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spans="1:69" ht="15.75" customHeight="1" x14ac:dyDescent="0.2">
      <c r="A395" s="1"/>
      <c r="B395" s="1"/>
      <c r="C395" s="3"/>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spans="1:69" ht="15.75" customHeight="1" x14ac:dyDescent="0.2">
      <c r="A396" s="1"/>
      <c r="B396" s="1"/>
      <c r="C396" s="3"/>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spans="1:69" ht="15.75" customHeight="1" x14ac:dyDescent="0.2">
      <c r="A397" s="1"/>
      <c r="B397" s="1"/>
      <c r="C397" s="3"/>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spans="1:69" ht="15.75" customHeight="1" x14ac:dyDescent="0.2">
      <c r="A398" s="1"/>
      <c r="B398" s="1"/>
      <c r="C398" s="3"/>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spans="1:69" ht="15.75" customHeight="1" x14ac:dyDescent="0.2">
      <c r="A399" s="1"/>
      <c r="B399" s="1"/>
      <c r="C399" s="3"/>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spans="1:69" ht="15.75" customHeight="1" x14ac:dyDescent="0.2">
      <c r="A400" s="1"/>
      <c r="B400" s="1"/>
      <c r="C400" s="3"/>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spans="1:69" ht="15.75" customHeight="1" x14ac:dyDescent="0.2">
      <c r="A401" s="1"/>
      <c r="B401" s="1"/>
      <c r="C401" s="3"/>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spans="1:69" ht="15.75" customHeight="1" x14ac:dyDescent="0.2">
      <c r="A402" s="1"/>
      <c r="B402" s="1"/>
      <c r="C402" s="3"/>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spans="1:69" ht="15.75" customHeight="1" x14ac:dyDescent="0.2">
      <c r="A403" s="1"/>
      <c r="B403" s="1"/>
      <c r="C403" s="3"/>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spans="1:69" ht="15.75" customHeight="1" x14ac:dyDescent="0.2">
      <c r="A404" s="1"/>
      <c r="B404" s="1"/>
      <c r="C404" s="3"/>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spans="1:69" ht="15.75" customHeight="1" x14ac:dyDescent="0.2">
      <c r="A405" s="1"/>
      <c r="B405" s="1"/>
      <c r="C405" s="3"/>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spans="1:69" ht="15.75" customHeight="1" x14ac:dyDescent="0.2">
      <c r="A406" s="1"/>
      <c r="B406" s="1"/>
      <c r="C406" s="3"/>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spans="1:69" ht="15.75" customHeight="1" x14ac:dyDescent="0.2">
      <c r="A407" s="1"/>
      <c r="B407" s="1"/>
      <c r="C407" s="3"/>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spans="1:69" ht="15.75" customHeight="1" x14ac:dyDescent="0.2">
      <c r="A408" s="1"/>
      <c r="B408" s="1"/>
      <c r="C408" s="3"/>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spans="1:69" ht="15.75" customHeight="1" x14ac:dyDescent="0.2">
      <c r="A409" s="1"/>
      <c r="B409" s="1"/>
      <c r="C409" s="3"/>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spans="1:69" ht="15.75" customHeight="1" x14ac:dyDescent="0.2">
      <c r="A410" s="1"/>
      <c r="B410" s="1"/>
      <c r="C410" s="3"/>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spans="1:69" ht="15.75" customHeight="1" x14ac:dyDescent="0.2">
      <c r="A411" s="1"/>
      <c r="B411" s="1"/>
      <c r="C411" s="3"/>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spans="1:69" ht="15.75" customHeight="1" x14ac:dyDescent="0.2">
      <c r="A412" s="1"/>
      <c r="B412" s="1"/>
      <c r="C412" s="3"/>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spans="1:69" ht="15.75" customHeight="1" x14ac:dyDescent="0.2">
      <c r="A413" s="1"/>
      <c r="B413" s="1"/>
      <c r="C413" s="3"/>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spans="1:69" ht="15.75" customHeight="1" x14ac:dyDescent="0.2">
      <c r="A414" s="1"/>
      <c r="B414" s="1"/>
      <c r="C414" s="3"/>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spans="1:69" ht="15.75" customHeight="1" x14ac:dyDescent="0.2">
      <c r="A415" s="1"/>
      <c r="B415" s="1"/>
      <c r="C415" s="3"/>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spans="1:69" ht="15.75" customHeight="1" x14ac:dyDescent="0.2">
      <c r="A416" s="1"/>
      <c r="B416" s="1"/>
      <c r="C416" s="3"/>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spans="1:69" ht="15.75" customHeight="1" x14ac:dyDescent="0.2">
      <c r="A417" s="1"/>
      <c r="B417" s="1"/>
      <c r="C417" s="3"/>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spans="1:69" ht="15.75" customHeight="1" x14ac:dyDescent="0.2">
      <c r="A418" s="1"/>
      <c r="B418" s="1"/>
      <c r="C418" s="3"/>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spans="1:69" ht="15.75" customHeight="1" x14ac:dyDescent="0.2">
      <c r="A419" s="1"/>
      <c r="B419" s="1"/>
      <c r="C419" s="3"/>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spans="1:69" ht="15.75" customHeight="1" x14ac:dyDescent="0.2">
      <c r="A420" s="1"/>
      <c r="B420" s="1"/>
      <c r="C420" s="3"/>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spans="1:69" ht="15.75" customHeight="1" x14ac:dyDescent="0.2">
      <c r="A421" s="1"/>
      <c r="B421" s="1"/>
      <c r="C421" s="3"/>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spans="1:69" ht="15.75" customHeight="1" x14ac:dyDescent="0.2">
      <c r="A422" s="1"/>
      <c r="B422" s="1"/>
      <c r="C422" s="3"/>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spans="1:69" ht="15.75" customHeight="1" x14ac:dyDescent="0.2">
      <c r="A423" s="1"/>
      <c r="B423" s="1"/>
      <c r="C423" s="3"/>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spans="1:69" ht="15.75" customHeight="1" x14ac:dyDescent="0.2">
      <c r="A424" s="1"/>
      <c r="B424" s="1"/>
      <c r="C424" s="3"/>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spans="1:69" ht="15.75" customHeight="1" x14ac:dyDescent="0.2">
      <c r="A425" s="1"/>
      <c r="B425" s="1"/>
      <c r="C425" s="3"/>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spans="1:69" ht="15.75" customHeight="1" x14ac:dyDescent="0.2">
      <c r="A426" s="1"/>
      <c r="B426" s="1"/>
      <c r="C426" s="3"/>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spans="1:69" ht="15.75" customHeight="1" x14ac:dyDescent="0.2">
      <c r="A427" s="1"/>
      <c r="B427" s="1"/>
      <c r="C427" s="3"/>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spans="1:69" ht="15.75" customHeight="1" x14ac:dyDescent="0.2">
      <c r="A428" s="1"/>
      <c r="B428" s="1"/>
      <c r="C428" s="3"/>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spans="1:69" ht="15.75" customHeight="1" x14ac:dyDescent="0.2">
      <c r="A429" s="1"/>
      <c r="B429" s="1"/>
      <c r="C429" s="3"/>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spans="1:69" ht="15.75" customHeight="1" x14ac:dyDescent="0.2">
      <c r="A430" s="1"/>
      <c r="B430" s="1"/>
      <c r="C430" s="3"/>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spans="1:69" ht="15.75" customHeight="1" x14ac:dyDescent="0.2">
      <c r="A431" s="1"/>
      <c r="B431" s="1"/>
      <c r="C431" s="3"/>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spans="1:69" ht="15.75" customHeight="1" x14ac:dyDescent="0.2">
      <c r="A432" s="1"/>
      <c r="B432" s="1"/>
      <c r="C432" s="3"/>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spans="1:69" ht="15.75" customHeight="1" x14ac:dyDescent="0.2">
      <c r="A433" s="1"/>
      <c r="B433" s="1"/>
      <c r="C433" s="3"/>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spans="1:69" ht="15.75" customHeight="1" x14ac:dyDescent="0.2">
      <c r="A434" s="1"/>
      <c r="B434" s="1"/>
      <c r="C434" s="3"/>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spans="1:69" ht="15.75" customHeight="1" x14ac:dyDescent="0.2">
      <c r="A435" s="1"/>
      <c r="B435" s="1"/>
      <c r="C435" s="3"/>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spans="1:69" ht="15.75" customHeight="1" x14ac:dyDescent="0.2">
      <c r="A436" s="1"/>
      <c r="B436" s="1"/>
      <c r="C436" s="3"/>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spans="1:69" ht="15.75" customHeight="1" x14ac:dyDescent="0.2">
      <c r="A437" s="1"/>
      <c r="B437" s="1"/>
      <c r="C437" s="3"/>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spans="1:69" ht="15.75" customHeight="1" x14ac:dyDescent="0.2">
      <c r="A438" s="1"/>
      <c r="B438" s="1"/>
      <c r="C438" s="3"/>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spans="1:69" ht="15.75" customHeight="1" x14ac:dyDescent="0.2">
      <c r="A439" s="1"/>
      <c r="B439" s="1"/>
      <c r="C439" s="3"/>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spans="1:69" ht="15.75" customHeight="1" x14ac:dyDescent="0.2">
      <c r="A440" s="1"/>
      <c r="B440" s="1"/>
      <c r="C440" s="3"/>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spans="1:69" ht="15.75" customHeight="1" x14ac:dyDescent="0.2">
      <c r="A441" s="1"/>
      <c r="B441" s="1"/>
      <c r="C441" s="3"/>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spans="1:69" ht="15.75" customHeight="1" x14ac:dyDescent="0.2">
      <c r="A442" s="1"/>
      <c r="B442" s="1"/>
      <c r="C442" s="3"/>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spans="1:69" ht="15.75" customHeight="1" x14ac:dyDescent="0.2">
      <c r="A443" s="1"/>
      <c r="B443" s="1"/>
      <c r="C443" s="3"/>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spans="1:69" ht="15.75" customHeight="1" x14ac:dyDescent="0.2">
      <c r="A444" s="1"/>
      <c r="B444" s="1"/>
      <c r="C444" s="3"/>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spans="1:69" ht="15.75" customHeight="1" x14ac:dyDescent="0.2">
      <c r="A445" s="1"/>
      <c r="B445" s="1"/>
      <c r="C445" s="3"/>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spans="1:69" ht="15.75" customHeight="1" x14ac:dyDescent="0.2">
      <c r="A446" s="1"/>
      <c r="B446" s="1"/>
      <c r="C446" s="3"/>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spans="1:69" ht="15.75" customHeight="1" x14ac:dyDescent="0.2">
      <c r="A447" s="1"/>
      <c r="B447" s="1"/>
      <c r="C447" s="3"/>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spans="1:69" ht="15.75" customHeight="1" x14ac:dyDescent="0.2">
      <c r="A448" s="1"/>
      <c r="B448" s="1"/>
      <c r="C448" s="3"/>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spans="1:69" ht="15.75" customHeight="1" x14ac:dyDescent="0.2">
      <c r="A449" s="1"/>
      <c r="B449" s="1"/>
      <c r="C449" s="3"/>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spans="1:69" ht="15.75" customHeight="1" x14ac:dyDescent="0.2">
      <c r="A450" s="1"/>
      <c r="B450" s="1"/>
      <c r="C450" s="3"/>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spans="1:69" ht="15.75" customHeight="1" x14ac:dyDescent="0.2">
      <c r="A451" s="1"/>
      <c r="B451" s="1"/>
      <c r="C451" s="3"/>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spans="1:69" ht="15.75" customHeight="1" x14ac:dyDescent="0.2">
      <c r="A452" s="1"/>
      <c r="B452" s="1"/>
      <c r="C452" s="3"/>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spans="1:69" ht="15.75" customHeight="1" x14ac:dyDescent="0.2">
      <c r="A453" s="1"/>
      <c r="B453" s="1"/>
      <c r="C453" s="3"/>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spans="1:69" ht="15.75" customHeight="1" x14ac:dyDescent="0.2">
      <c r="A454" s="1"/>
      <c r="B454" s="1"/>
      <c r="C454" s="3"/>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spans="1:69" ht="15.75" customHeight="1" x14ac:dyDescent="0.2">
      <c r="A455" s="1"/>
      <c r="B455" s="1"/>
      <c r="C455" s="3"/>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spans="1:69" ht="15.75" customHeight="1" x14ac:dyDescent="0.2">
      <c r="A456" s="1"/>
      <c r="B456" s="1"/>
      <c r="C456" s="3"/>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spans="1:69" ht="15.75" customHeight="1" x14ac:dyDescent="0.2">
      <c r="A457" s="1"/>
      <c r="B457" s="1"/>
      <c r="C457" s="3"/>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spans="1:69" ht="15.75" customHeight="1" x14ac:dyDescent="0.2">
      <c r="A458" s="1"/>
      <c r="B458" s="1"/>
      <c r="C458" s="3"/>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spans="1:69" ht="15.75" customHeight="1" x14ac:dyDescent="0.2">
      <c r="A459" s="1"/>
      <c r="B459" s="1"/>
      <c r="C459" s="3"/>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spans="1:69" ht="15.75" customHeight="1" x14ac:dyDescent="0.2">
      <c r="A460" s="1"/>
      <c r="B460" s="1"/>
      <c r="C460" s="3"/>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spans="1:69" ht="15.75" customHeight="1" x14ac:dyDescent="0.2">
      <c r="A461" s="1"/>
      <c r="B461" s="1"/>
      <c r="C461" s="3"/>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spans="1:69" ht="15.75" customHeight="1" x14ac:dyDescent="0.2">
      <c r="A462" s="1"/>
      <c r="B462" s="1"/>
      <c r="C462" s="3"/>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spans="1:69" ht="15.75" customHeight="1" x14ac:dyDescent="0.2">
      <c r="A463" s="1"/>
      <c r="B463" s="1"/>
      <c r="C463" s="3"/>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spans="1:69" ht="15.75" customHeight="1" x14ac:dyDescent="0.2">
      <c r="A464" s="1"/>
      <c r="B464" s="1"/>
      <c r="C464" s="3"/>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spans="1:69" ht="15.75" customHeight="1" x14ac:dyDescent="0.2">
      <c r="A465" s="1"/>
      <c r="B465" s="1"/>
      <c r="C465" s="3"/>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spans="1:69" ht="15.75" customHeight="1" x14ac:dyDescent="0.2">
      <c r="A466" s="1"/>
      <c r="B466" s="1"/>
      <c r="C466" s="3"/>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spans="1:69" ht="15.75" customHeight="1" x14ac:dyDescent="0.2">
      <c r="A467" s="1"/>
      <c r="B467" s="1"/>
      <c r="C467" s="3"/>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spans="1:69" ht="15.75" customHeight="1" x14ac:dyDescent="0.2">
      <c r="A468" s="1"/>
      <c r="B468" s="1"/>
      <c r="C468" s="3"/>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spans="1:69" ht="15.75" customHeight="1" x14ac:dyDescent="0.2">
      <c r="A469" s="1"/>
      <c r="B469" s="1"/>
      <c r="C469" s="3"/>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spans="1:69" ht="15.75" customHeight="1" x14ac:dyDescent="0.2">
      <c r="A470" s="1"/>
      <c r="B470" s="1"/>
      <c r="C470" s="3"/>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spans="1:69" ht="15.75" customHeight="1" x14ac:dyDescent="0.2">
      <c r="A471" s="1"/>
      <c r="B471" s="1"/>
      <c r="C471" s="3"/>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spans="1:69" ht="15.75" customHeight="1" x14ac:dyDescent="0.2">
      <c r="A472" s="1"/>
      <c r="B472" s="1"/>
      <c r="C472" s="3"/>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spans="1:69" ht="15.75" customHeight="1" x14ac:dyDescent="0.2">
      <c r="A473" s="1"/>
      <c r="B473" s="1"/>
      <c r="C473" s="3"/>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spans="1:69" ht="15.75" customHeight="1" x14ac:dyDescent="0.2">
      <c r="A474" s="1"/>
      <c r="B474" s="1"/>
      <c r="C474" s="3"/>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spans="1:69" ht="15.75" customHeight="1" x14ac:dyDescent="0.2">
      <c r="A475" s="1"/>
      <c r="B475" s="1"/>
      <c r="C475" s="3"/>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spans="1:69" ht="15.75" customHeight="1" x14ac:dyDescent="0.2">
      <c r="A476" s="1"/>
      <c r="B476" s="1"/>
      <c r="C476" s="3"/>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spans="1:69" ht="15.75" customHeight="1" x14ac:dyDescent="0.2">
      <c r="A477" s="1"/>
      <c r="B477" s="1"/>
      <c r="C477" s="3"/>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spans="1:69" ht="15.75" customHeight="1" x14ac:dyDescent="0.2">
      <c r="A478" s="1"/>
      <c r="B478" s="1"/>
      <c r="C478" s="3"/>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spans="1:69" ht="15.75" customHeight="1" x14ac:dyDescent="0.2">
      <c r="A479" s="1"/>
      <c r="B479" s="1"/>
      <c r="C479" s="3"/>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spans="1:69" ht="15.75" customHeight="1" x14ac:dyDescent="0.2">
      <c r="A480" s="1"/>
      <c r="B480" s="1"/>
      <c r="C480" s="3"/>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spans="1:69" ht="15.75" customHeight="1" x14ac:dyDescent="0.2">
      <c r="A481" s="1"/>
      <c r="B481" s="1"/>
      <c r="C481" s="3"/>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spans="1:69" ht="15.75" customHeight="1" x14ac:dyDescent="0.2">
      <c r="A482" s="1"/>
      <c r="B482" s="1"/>
      <c r="C482" s="3"/>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spans="1:69" ht="15.75" customHeight="1" x14ac:dyDescent="0.2">
      <c r="A483" s="1"/>
      <c r="B483" s="1"/>
      <c r="C483" s="3"/>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spans="1:69" ht="15.75" customHeight="1" x14ac:dyDescent="0.2">
      <c r="A484" s="1"/>
      <c r="B484" s="1"/>
      <c r="C484" s="3"/>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spans="1:69" ht="15.75" customHeight="1" x14ac:dyDescent="0.2">
      <c r="A485" s="1"/>
      <c r="B485" s="1"/>
      <c r="C485" s="3"/>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spans="1:69" ht="15.75" customHeight="1" x14ac:dyDescent="0.2">
      <c r="A486" s="1"/>
      <c r="B486" s="1"/>
      <c r="C486" s="3"/>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spans="1:69" ht="15.75" customHeight="1" x14ac:dyDescent="0.2">
      <c r="A487" s="1"/>
      <c r="B487" s="1"/>
      <c r="C487" s="3"/>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spans="1:69" ht="15.75" customHeight="1" x14ac:dyDescent="0.2">
      <c r="A488" s="1"/>
      <c r="B488" s="1"/>
      <c r="C488" s="3"/>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spans="1:69" ht="15.75" customHeight="1" x14ac:dyDescent="0.2">
      <c r="A489" s="1"/>
      <c r="B489" s="1"/>
      <c r="C489" s="3"/>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spans="1:69" ht="15.75" customHeight="1" x14ac:dyDescent="0.2">
      <c r="A490" s="1"/>
      <c r="B490" s="1"/>
      <c r="C490" s="3"/>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spans="1:69" ht="15.75" customHeight="1" x14ac:dyDescent="0.2">
      <c r="A491" s="1"/>
      <c r="B491" s="1"/>
      <c r="C491" s="3"/>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spans="1:69" ht="15.75" customHeight="1" x14ac:dyDescent="0.2">
      <c r="A492" s="1"/>
      <c r="B492" s="1"/>
      <c r="C492" s="3"/>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spans="1:69" ht="15.75" customHeight="1" x14ac:dyDescent="0.2">
      <c r="A493" s="1"/>
      <c r="B493" s="1"/>
      <c r="C493" s="3"/>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spans="1:69" ht="15.75" customHeight="1" x14ac:dyDescent="0.2">
      <c r="A494" s="1"/>
      <c r="B494" s="1"/>
      <c r="C494" s="3"/>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spans="1:69" ht="15.75" customHeight="1" x14ac:dyDescent="0.2">
      <c r="A495" s="1"/>
      <c r="B495" s="1"/>
      <c r="C495" s="3"/>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spans="1:69" ht="15.75" customHeight="1" x14ac:dyDescent="0.2">
      <c r="A496" s="1"/>
      <c r="B496" s="1"/>
      <c r="C496" s="3"/>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spans="1:69" ht="15.75" customHeight="1" x14ac:dyDescent="0.2">
      <c r="A497" s="1"/>
      <c r="B497" s="1"/>
      <c r="C497" s="3"/>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spans="1:69" ht="15.75" customHeight="1" x14ac:dyDescent="0.2">
      <c r="A498" s="1"/>
      <c r="B498" s="1"/>
      <c r="C498" s="3"/>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spans="1:69" ht="15.75" customHeight="1" x14ac:dyDescent="0.2">
      <c r="A499" s="1"/>
      <c r="B499" s="1"/>
      <c r="C499" s="3"/>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spans="1:69" ht="15.75" customHeight="1" x14ac:dyDescent="0.2">
      <c r="A500" s="1"/>
      <c r="B500" s="1"/>
      <c r="C500" s="3"/>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spans="1:69" ht="15.75" customHeight="1" x14ac:dyDescent="0.2">
      <c r="A501" s="1"/>
      <c r="B501" s="1"/>
      <c r="C501" s="3"/>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spans="1:69" ht="15.75" customHeight="1" x14ac:dyDescent="0.2">
      <c r="A502" s="1"/>
      <c r="B502" s="1"/>
      <c r="C502" s="3"/>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spans="1:69" ht="15.75" customHeight="1" x14ac:dyDescent="0.2">
      <c r="A503" s="1"/>
      <c r="B503" s="1"/>
      <c r="C503" s="3"/>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spans="1:69" ht="15.75" customHeight="1" x14ac:dyDescent="0.2">
      <c r="A504" s="1"/>
      <c r="B504" s="1"/>
      <c r="C504" s="3"/>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spans="1:69" ht="15.75" customHeight="1" x14ac:dyDescent="0.2">
      <c r="A505" s="1"/>
      <c r="B505" s="1"/>
      <c r="C505" s="3"/>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spans="1:69" ht="15.75" customHeight="1" x14ac:dyDescent="0.2">
      <c r="A506" s="1"/>
      <c r="B506" s="1"/>
      <c r="C506" s="3"/>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spans="1:69" ht="15.75" customHeight="1" x14ac:dyDescent="0.2">
      <c r="A507" s="1"/>
      <c r="B507" s="1"/>
      <c r="C507" s="3"/>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spans="1:69" ht="15.75" customHeight="1" x14ac:dyDescent="0.2">
      <c r="A508" s="1"/>
      <c r="B508" s="1"/>
      <c r="C508" s="3"/>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spans="1:69" ht="15.75" customHeight="1" x14ac:dyDescent="0.2">
      <c r="A509" s="1"/>
      <c r="B509" s="1"/>
      <c r="C509" s="3"/>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spans="1:69" ht="15.75" customHeight="1" x14ac:dyDescent="0.2">
      <c r="A510" s="1"/>
      <c r="B510" s="1"/>
      <c r="C510" s="3"/>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spans="1:69" ht="15.75" customHeight="1" x14ac:dyDescent="0.2">
      <c r="A511" s="1"/>
      <c r="B511" s="1"/>
      <c r="C511" s="3"/>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spans="1:69" ht="15.75" customHeight="1" x14ac:dyDescent="0.2">
      <c r="A512" s="1"/>
      <c r="B512" s="1"/>
      <c r="C512" s="3"/>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spans="1:69" ht="15.75" customHeight="1" x14ac:dyDescent="0.2">
      <c r="A513" s="1"/>
      <c r="B513" s="1"/>
      <c r="C513" s="3"/>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spans="1:69" ht="15.75" customHeight="1" x14ac:dyDescent="0.2">
      <c r="A514" s="1"/>
      <c r="B514" s="1"/>
      <c r="C514" s="3"/>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spans="1:69" ht="15.75" customHeight="1" x14ac:dyDescent="0.2">
      <c r="A515" s="1"/>
      <c r="B515" s="1"/>
      <c r="C515" s="3"/>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spans="1:69" ht="15.75" customHeight="1" x14ac:dyDescent="0.2">
      <c r="A516" s="1"/>
      <c r="B516" s="1"/>
      <c r="C516" s="3"/>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spans="1:69" ht="15.75" customHeight="1" x14ac:dyDescent="0.2">
      <c r="A517" s="1"/>
      <c r="B517" s="1"/>
      <c r="C517" s="3"/>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spans="1:69" ht="15.75" customHeight="1" x14ac:dyDescent="0.2">
      <c r="A518" s="1"/>
      <c r="B518" s="1"/>
      <c r="C518" s="3"/>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spans="1:69" ht="15.75" customHeight="1" x14ac:dyDescent="0.2">
      <c r="A519" s="1"/>
      <c r="B519" s="1"/>
      <c r="C519" s="3"/>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spans="1:69" ht="15.75" customHeight="1" x14ac:dyDescent="0.2">
      <c r="A520" s="1"/>
      <c r="B520" s="1"/>
      <c r="C520" s="3"/>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spans="1:69" ht="15.75" customHeight="1" x14ac:dyDescent="0.2">
      <c r="A521" s="1"/>
      <c r="B521" s="1"/>
      <c r="C521" s="3"/>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spans="1:69" ht="15.75" customHeight="1" x14ac:dyDescent="0.2">
      <c r="A522" s="1"/>
      <c r="B522" s="1"/>
      <c r="C522" s="3"/>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spans="1:69" ht="15.75" customHeight="1" x14ac:dyDescent="0.2">
      <c r="A523" s="1"/>
      <c r="B523" s="1"/>
      <c r="C523" s="3"/>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spans="1:69" ht="15.75" customHeight="1" x14ac:dyDescent="0.2">
      <c r="A524" s="1"/>
      <c r="B524" s="1"/>
      <c r="C524" s="3"/>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spans="1:69" ht="15.75" customHeight="1" x14ac:dyDescent="0.2">
      <c r="A525" s="1"/>
      <c r="B525" s="1"/>
      <c r="C525" s="3"/>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spans="1:69" ht="15.75" customHeight="1" x14ac:dyDescent="0.2">
      <c r="A526" s="1"/>
      <c r="B526" s="1"/>
      <c r="C526" s="3"/>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spans="1:69" ht="15.75" customHeight="1" x14ac:dyDescent="0.2">
      <c r="A527" s="1"/>
      <c r="B527" s="1"/>
      <c r="C527" s="3"/>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spans="1:69" ht="15.75" customHeight="1" x14ac:dyDescent="0.2">
      <c r="A528" s="1"/>
      <c r="B528" s="1"/>
      <c r="C528" s="3"/>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spans="1:69" ht="15.75" customHeight="1" x14ac:dyDescent="0.2">
      <c r="A529" s="1"/>
      <c r="B529" s="1"/>
      <c r="C529" s="3"/>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spans="1:69" ht="15.75" customHeight="1" x14ac:dyDescent="0.2">
      <c r="A530" s="1"/>
      <c r="B530" s="1"/>
      <c r="C530" s="3"/>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spans="1:69" ht="15.75" customHeight="1" x14ac:dyDescent="0.2">
      <c r="A531" s="1"/>
      <c r="B531" s="1"/>
      <c r="C531" s="3"/>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spans="1:69" ht="15.75" customHeight="1" x14ac:dyDescent="0.2">
      <c r="A532" s="1"/>
      <c r="B532" s="1"/>
      <c r="C532" s="3"/>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spans="1:69" ht="15.75" customHeight="1" x14ac:dyDescent="0.2">
      <c r="A533" s="1"/>
      <c r="B533" s="1"/>
      <c r="C533" s="3"/>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spans="1:69" ht="15.75" customHeight="1" x14ac:dyDescent="0.2">
      <c r="A534" s="1"/>
      <c r="B534" s="1"/>
      <c r="C534" s="3"/>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spans="1:69" ht="15.75" customHeight="1" x14ac:dyDescent="0.2">
      <c r="A535" s="1"/>
      <c r="B535" s="1"/>
      <c r="C535" s="3"/>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spans="1:69" ht="15.75" customHeight="1" x14ac:dyDescent="0.2">
      <c r="A536" s="1"/>
      <c r="B536" s="1"/>
      <c r="C536" s="3"/>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spans="1:69" ht="15.75" customHeight="1" x14ac:dyDescent="0.2">
      <c r="A537" s="1"/>
      <c r="B537" s="1"/>
      <c r="C537" s="3"/>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spans="1:69" ht="15.75" customHeight="1" x14ac:dyDescent="0.2">
      <c r="A538" s="1"/>
      <c r="B538" s="1"/>
      <c r="C538" s="3"/>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spans="1:69" ht="15.75" customHeight="1" x14ac:dyDescent="0.2">
      <c r="A539" s="1"/>
      <c r="B539" s="1"/>
      <c r="C539" s="3"/>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spans="1:69" ht="15.75" customHeight="1" x14ac:dyDescent="0.2">
      <c r="A540" s="1"/>
      <c r="B540" s="1"/>
      <c r="C540" s="3"/>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spans="1:69" ht="15.75" customHeight="1" x14ac:dyDescent="0.2">
      <c r="A541" s="1"/>
      <c r="B541" s="1"/>
      <c r="C541" s="3"/>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spans="1:69" ht="15.75" customHeight="1" x14ac:dyDescent="0.2">
      <c r="A542" s="1"/>
      <c r="B542" s="1"/>
      <c r="C542" s="3"/>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spans="1:69" ht="15.75" customHeight="1" x14ac:dyDescent="0.2">
      <c r="A543" s="1"/>
      <c r="B543" s="1"/>
      <c r="C543" s="3"/>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spans="1:69" ht="15.75" customHeight="1" x14ac:dyDescent="0.2">
      <c r="A544" s="1"/>
      <c r="B544" s="1"/>
      <c r="C544" s="3"/>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spans="1:69" ht="15.75" customHeight="1" x14ac:dyDescent="0.2">
      <c r="A545" s="1"/>
      <c r="B545" s="1"/>
      <c r="C545" s="3"/>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spans="1:69" ht="15.75" customHeight="1" x14ac:dyDescent="0.2">
      <c r="A546" s="1"/>
      <c r="B546" s="1"/>
      <c r="C546" s="3"/>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spans="1:69" ht="15.75" customHeight="1" x14ac:dyDescent="0.2">
      <c r="A547" s="1"/>
      <c r="B547" s="1"/>
      <c r="C547" s="3"/>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spans="1:69" ht="15.75" customHeight="1" x14ac:dyDescent="0.2">
      <c r="A548" s="1"/>
      <c r="B548" s="1"/>
      <c r="C548" s="3"/>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spans="1:69" ht="15.75" customHeight="1" x14ac:dyDescent="0.2">
      <c r="A549" s="1"/>
      <c r="B549" s="1"/>
      <c r="C549" s="3"/>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spans="1:69" ht="15.75" customHeight="1" x14ac:dyDescent="0.2">
      <c r="A550" s="1"/>
      <c r="B550" s="1"/>
      <c r="C550" s="3"/>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spans="1:69" ht="15.75" customHeight="1" x14ac:dyDescent="0.2">
      <c r="A551" s="1"/>
      <c r="B551" s="1"/>
      <c r="C551" s="3"/>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spans="1:69" ht="15.75" customHeight="1" x14ac:dyDescent="0.2">
      <c r="A552" s="1"/>
      <c r="B552" s="1"/>
      <c r="C552" s="3"/>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spans="1:69" ht="15.75" customHeight="1" x14ac:dyDescent="0.2">
      <c r="A553" s="1"/>
      <c r="B553" s="1"/>
      <c r="C553" s="3"/>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spans="1:69" ht="15.75" customHeight="1" x14ac:dyDescent="0.2">
      <c r="A554" s="1"/>
      <c r="B554" s="1"/>
      <c r="C554" s="3"/>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spans="1:69" ht="15.75" customHeight="1" x14ac:dyDescent="0.2">
      <c r="A555" s="1"/>
      <c r="B555" s="1"/>
      <c r="C555" s="3"/>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spans="1:69" ht="15.75" customHeight="1" x14ac:dyDescent="0.2">
      <c r="A556" s="1"/>
      <c r="B556" s="1"/>
      <c r="C556" s="3"/>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spans="1:69" ht="15.75" customHeight="1" x14ac:dyDescent="0.2">
      <c r="A557" s="1"/>
      <c r="B557" s="1"/>
      <c r="C557" s="3"/>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spans="1:69" ht="15.75" customHeight="1" x14ac:dyDescent="0.2">
      <c r="A558" s="1"/>
      <c r="B558" s="1"/>
      <c r="C558" s="3"/>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spans="1:69" ht="15.75" customHeight="1" x14ac:dyDescent="0.2">
      <c r="A559" s="1"/>
      <c r="B559" s="1"/>
      <c r="C559" s="3"/>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spans="1:69" ht="15.75" customHeight="1" x14ac:dyDescent="0.2">
      <c r="A560" s="1"/>
      <c r="B560" s="1"/>
      <c r="C560" s="3"/>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spans="1:69" ht="15.75" customHeight="1" x14ac:dyDescent="0.2">
      <c r="A561" s="1"/>
      <c r="B561" s="1"/>
      <c r="C561" s="3"/>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spans="1:69" ht="15.75" customHeight="1" x14ac:dyDescent="0.2">
      <c r="A562" s="1"/>
      <c r="B562" s="1"/>
      <c r="C562" s="3"/>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spans="1:69" ht="15.75" customHeight="1" x14ac:dyDescent="0.2">
      <c r="A563" s="1"/>
      <c r="B563" s="1"/>
      <c r="C563" s="3"/>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spans="1:69" ht="15.75" customHeight="1" x14ac:dyDescent="0.2">
      <c r="A564" s="1"/>
      <c r="B564" s="1"/>
      <c r="C564" s="3"/>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spans="1:69" ht="15.75" customHeight="1" x14ac:dyDescent="0.2">
      <c r="A565" s="1"/>
      <c r="B565" s="1"/>
      <c r="C565" s="3"/>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spans="1:69" ht="15.75" customHeight="1" x14ac:dyDescent="0.2">
      <c r="A566" s="1"/>
      <c r="B566" s="1"/>
      <c r="C566" s="3"/>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spans="1:69" ht="15.75" customHeight="1" x14ac:dyDescent="0.2">
      <c r="A567" s="1"/>
      <c r="B567" s="1"/>
      <c r="C567" s="3"/>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spans="1:69" ht="15.75" customHeight="1" x14ac:dyDescent="0.2">
      <c r="A568" s="1"/>
      <c r="B568" s="1"/>
      <c r="C568" s="3"/>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spans="1:69" ht="15.75" customHeight="1" x14ac:dyDescent="0.2">
      <c r="A569" s="1"/>
      <c r="B569" s="1"/>
      <c r="C569" s="3"/>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spans="1:69" ht="15.75" customHeight="1" x14ac:dyDescent="0.2">
      <c r="A570" s="1"/>
      <c r="B570" s="1"/>
      <c r="C570" s="3"/>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spans="1:69" ht="15.75" customHeight="1" x14ac:dyDescent="0.2">
      <c r="A571" s="1"/>
      <c r="B571" s="1"/>
      <c r="C571" s="3"/>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spans="1:69" ht="15.75" customHeight="1" x14ac:dyDescent="0.2">
      <c r="A572" s="1"/>
      <c r="B572" s="1"/>
      <c r="C572" s="3"/>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spans="1:69" ht="15.75" customHeight="1" x14ac:dyDescent="0.2">
      <c r="A573" s="1"/>
      <c r="B573" s="1"/>
      <c r="C573" s="3"/>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spans="1:69" ht="15.75" customHeight="1" x14ac:dyDescent="0.2">
      <c r="A574" s="1"/>
      <c r="B574" s="1"/>
      <c r="C574" s="3"/>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spans="1:69" ht="15.75" customHeight="1" x14ac:dyDescent="0.2">
      <c r="A575" s="1"/>
      <c r="B575" s="1"/>
      <c r="C575" s="3"/>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spans="1:69" ht="15.75" customHeight="1" x14ac:dyDescent="0.2">
      <c r="A576" s="1"/>
      <c r="B576" s="1"/>
      <c r="C576" s="3"/>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spans="1:69" ht="15.75" customHeight="1" x14ac:dyDescent="0.2">
      <c r="A577" s="1"/>
      <c r="B577" s="1"/>
      <c r="C577" s="3"/>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spans="1:69" ht="15.75" customHeight="1" x14ac:dyDescent="0.2">
      <c r="A578" s="1"/>
      <c r="B578" s="1"/>
      <c r="C578" s="3"/>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spans="1:69" ht="15.75" customHeight="1" x14ac:dyDescent="0.2">
      <c r="A579" s="1"/>
      <c r="B579" s="1"/>
      <c r="C579" s="3"/>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spans="1:69" ht="15.75" customHeight="1" x14ac:dyDescent="0.2">
      <c r="A580" s="1"/>
      <c r="B580" s="1"/>
      <c r="C580" s="3"/>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spans="1:69" ht="15.75" customHeight="1" x14ac:dyDescent="0.2">
      <c r="A581" s="1"/>
      <c r="B581" s="1"/>
      <c r="C581" s="3"/>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spans="1:69" ht="15.75" customHeight="1" x14ac:dyDescent="0.2">
      <c r="A582" s="1"/>
      <c r="B582" s="1"/>
      <c r="C582" s="3"/>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spans="1:69" ht="15.75" customHeight="1" x14ac:dyDescent="0.2">
      <c r="A583" s="1"/>
      <c r="B583" s="1"/>
      <c r="C583" s="3"/>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spans="1:69" ht="15.75" customHeight="1" x14ac:dyDescent="0.2">
      <c r="A584" s="1"/>
      <c r="B584" s="1"/>
      <c r="C584" s="3"/>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spans="1:69" ht="15.75" customHeight="1" x14ac:dyDescent="0.2">
      <c r="A585" s="1"/>
      <c r="B585" s="1"/>
      <c r="C585" s="3"/>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spans="1:69" ht="15.75" customHeight="1" x14ac:dyDescent="0.2">
      <c r="A586" s="1"/>
      <c r="B586" s="1"/>
      <c r="C586" s="3"/>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spans="1:69" ht="15.75" customHeight="1" x14ac:dyDescent="0.2">
      <c r="A587" s="1"/>
      <c r="B587" s="1"/>
      <c r="C587" s="3"/>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spans="1:69" ht="15.75" customHeight="1" x14ac:dyDescent="0.2">
      <c r="A588" s="1"/>
      <c r="B588" s="1"/>
      <c r="C588" s="3"/>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spans="1:69" ht="15.75" customHeight="1" x14ac:dyDescent="0.2">
      <c r="A589" s="1"/>
      <c r="B589" s="1"/>
      <c r="C589" s="3"/>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spans="1:69" ht="15.75" customHeight="1" x14ac:dyDescent="0.2">
      <c r="A590" s="1"/>
      <c r="B590" s="1"/>
      <c r="C590" s="3"/>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spans="1:69" ht="15.75" customHeight="1" x14ac:dyDescent="0.2">
      <c r="A591" s="1"/>
      <c r="B591" s="1"/>
      <c r="C591" s="3"/>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spans="1:69" ht="15.75" customHeight="1" x14ac:dyDescent="0.2">
      <c r="A592" s="1"/>
      <c r="B592" s="1"/>
      <c r="C592" s="3"/>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spans="1:69" ht="15.75" customHeight="1" x14ac:dyDescent="0.2">
      <c r="A593" s="1"/>
      <c r="B593" s="1"/>
      <c r="C593" s="3"/>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spans="1:69" ht="15.75" customHeight="1" x14ac:dyDescent="0.2">
      <c r="A594" s="1"/>
      <c r="B594" s="1"/>
      <c r="C594" s="3"/>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spans="1:69" ht="15.75" customHeight="1" x14ac:dyDescent="0.2">
      <c r="A595" s="1"/>
      <c r="B595" s="1"/>
      <c r="C595" s="3"/>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spans="1:69" ht="15.75" customHeight="1" x14ac:dyDescent="0.2">
      <c r="A596" s="1"/>
      <c r="B596" s="1"/>
      <c r="C596" s="3"/>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spans="1:69" ht="15.75" customHeight="1" x14ac:dyDescent="0.2">
      <c r="A597" s="1"/>
      <c r="B597" s="1"/>
      <c r="C597" s="3"/>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spans="1:69" ht="15.75" customHeight="1" x14ac:dyDescent="0.2">
      <c r="A598" s="1"/>
      <c r="B598" s="1"/>
      <c r="C598" s="3"/>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spans="1:69" ht="15.75" customHeight="1" x14ac:dyDescent="0.2">
      <c r="A599" s="1"/>
      <c r="B599" s="1"/>
      <c r="C599" s="3"/>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spans="1:69" ht="15.75" customHeight="1" x14ac:dyDescent="0.2">
      <c r="A600" s="1"/>
      <c r="B600" s="1"/>
      <c r="C600" s="3"/>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spans="1:69" ht="15.75" customHeight="1" x14ac:dyDescent="0.2">
      <c r="A601" s="1"/>
      <c r="B601" s="1"/>
      <c r="C601" s="3"/>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spans="1:69" ht="15.75" customHeight="1" x14ac:dyDescent="0.2">
      <c r="A602" s="1"/>
      <c r="B602" s="1"/>
      <c r="C602" s="3"/>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spans="1:69" ht="15.75" customHeight="1" x14ac:dyDescent="0.2">
      <c r="A603" s="1"/>
      <c r="B603" s="1"/>
      <c r="C603" s="3"/>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spans="1:69" ht="15.75" customHeight="1" x14ac:dyDescent="0.2">
      <c r="A604" s="1"/>
      <c r="B604" s="1"/>
      <c r="C604" s="3"/>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spans="1:69" ht="15.75" customHeight="1" x14ac:dyDescent="0.2">
      <c r="A605" s="1"/>
      <c r="B605" s="1"/>
      <c r="C605" s="3"/>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spans="1:69" ht="15.75" customHeight="1" x14ac:dyDescent="0.2">
      <c r="A606" s="1"/>
      <c r="B606" s="1"/>
      <c r="C606" s="3"/>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spans="1:69" ht="15.75" customHeight="1" x14ac:dyDescent="0.2">
      <c r="A607" s="1"/>
      <c r="B607" s="1"/>
      <c r="C607" s="3"/>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spans="1:69" ht="15.75" customHeight="1" x14ac:dyDescent="0.2">
      <c r="A608" s="1"/>
      <c r="B608" s="1"/>
      <c r="C608" s="3"/>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spans="1:69" ht="15.75" customHeight="1" x14ac:dyDescent="0.2">
      <c r="A609" s="1"/>
      <c r="B609" s="1"/>
      <c r="C609" s="3"/>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spans="1:69" ht="15.75" customHeight="1" x14ac:dyDescent="0.2">
      <c r="A610" s="1"/>
      <c r="B610" s="1"/>
      <c r="C610" s="3"/>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spans="1:69" ht="15.75" customHeight="1" x14ac:dyDescent="0.2">
      <c r="A611" s="1"/>
      <c r="B611" s="1"/>
      <c r="C611" s="3"/>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spans="1:69" ht="15.75" customHeight="1" x14ac:dyDescent="0.2">
      <c r="A612" s="1"/>
      <c r="B612" s="1"/>
      <c r="C612" s="3"/>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spans="1:69" ht="15.75" customHeight="1" x14ac:dyDescent="0.2">
      <c r="A613" s="1"/>
      <c r="B613" s="1"/>
      <c r="C613" s="3"/>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spans="1:69" ht="15.75" customHeight="1" x14ac:dyDescent="0.2">
      <c r="A614" s="1"/>
      <c r="B614" s="1"/>
      <c r="C614" s="3"/>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spans="1:69" ht="15.75" customHeight="1" x14ac:dyDescent="0.2">
      <c r="A615" s="1"/>
      <c r="B615" s="1"/>
      <c r="C615" s="3"/>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spans="1:69" ht="15.75" customHeight="1" x14ac:dyDescent="0.2">
      <c r="A616" s="1"/>
      <c r="B616" s="1"/>
      <c r="C616" s="3"/>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spans="1:69" ht="15.75" customHeight="1" x14ac:dyDescent="0.2">
      <c r="A617" s="1"/>
      <c r="B617" s="1"/>
      <c r="C617" s="3"/>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spans="1:69" ht="15.75" customHeight="1" x14ac:dyDescent="0.2">
      <c r="A618" s="1"/>
      <c r="B618" s="1"/>
      <c r="C618" s="3"/>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spans="1:69" ht="15.75" customHeight="1" x14ac:dyDescent="0.2">
      <c r="A619" s="1"/>
      <c r="B619" s="1"/>
      <c r="C619" s="3"/>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spans="1:69" ht="15.75" customHeight="1" x14ac:dyDescent="0.2">
      <c r="A620" s="1"/>
      <c r="B620" s="1"/>
      <c r="C620" s="3"/>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spans="1:69" ht="15.75" customHeight="1" x14ac:dyDescent="0.2">
      <c r="A621" s="1"/>
      <c r="B621" s="1"/>
      <c r="C621" s="3"/>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spans="1:69" ht="15.75" customHeight="1" x14ac:dyDescent="0.2">
      <c r="A622" s="1"/>
      <c r="B622" s="1"/>
      <c r="C622" s="3"/>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spans="1:69" ht="15.75" customHeight="1" x14ac:dyDescent="0.2">
      <c r="A623" s="1"/>
      <c r="B623" s="1"/>
      <c r="C623" s="3"/>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spans="1:69" ht="15.75" customHeight="1" x14ac:dyDescent="0.2">
      <c r="A624" s="1"/>
      <c r="B624" s="1"/>
      <c r="C624" s="3"/>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spans="1:69" ht="15.75" customHeight="1" x14ac:dyDescent="0.2">
      <c r="A625" s="1"/>
      <c r="B625" s="1"/>
      <c r="C625" s="3"/>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spans="1:69" ht="15.75" customHeight="1" x14ac:dyDescent="0.2">
      <c r="A626" s="1"/>
      <c r="B626" s="1"/>
      <c r="C626" s="3"/>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spans="1:69" ht="15.75" customHeight="1" x14ac:dyDescent="0.2">
      <c r="A627" s="1"/>
      <c r="B627" s="1"/>
      <c r="C627" s="3"/>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spans="1:69" ht="15.75" customHeight="1" x14ac:dyDescent="0.2">
      <c r="A628" s="1"/>
      <c r="B628" s="1"/>
      <c r="C628" s="3"/>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spans="1:69" ht="15.75" customHeight="1" x14ac:dyDescent="0.2">
      <c r="A629" s="1"/>
      <c r="B629" s="1"/>
      <c r="C629" s="3"/>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spans="1:69" ht="15.75" customHeight="1" x14ac:dyDescent="0.2">
      <c r="A630" s="1"/>
      <c r="B630" s="1"/>
      <c r="C630" s="3"/>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spans="1:69" ht="15.75" customHeight="1" x14ac:dyDescent="0.2">
      <c r="A631" s="1"/>
      <c r="B631" s="1"/>
      <c r="C631" s="3"/>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spans="1:69" ht="15.75" customHeight="1" x14ac:dyDescent="0.2">
      <c r="A632" s="1"/>
      <c r="B632" s="1"/>
      <c r="C632" s="3"/>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spans="1:69" ht="15.75" customHeight="1" x14ac:dyDescent="0.2">
      <c r="A633" s="1"/>
      <c r="B633" s="1"/>
      <c r="C633" s="3"/>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spans="1:69" ht="15.75" customHeight="1" x14ac:dyDescent="0.2">
      <c r="A634" s="1"/>
      <c r="B634" s="1"/>
      <c r="C634" s="3"/>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spans="1:69" ht="15.75" customHeight="1" x14ac:dyDescent="0.2">
      <c r="A635" s="1"/>
      <c r="B635" s="1"/>
      <c r="C635" s="3"/>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spans="1:69" ht="15.75" customHeight="1" x14ac:dyDescent="0.2">
      <c r="A636" s="1"/>
      <c r="B636" s="1"/>
      <c r="C636" s="3"/>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spans="1:69" ht="15.75" customHeight="1" x14ac:dyDescent="0.2">
      <c r="A637" s="1"/>
      <c r="B637" s="1"/>
      <c r="C637" s="3"/>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spans="1:69" ht="15.75" customHeight="1" x14ac:dyDescent="0.2">
      <c r="A638" s="1"/>
      <c r="B638" s="1"/>
      <c r="C638" s="3"/>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spans="1:69" ht="15.75" customHeight="1" x14ac:dyDescent="0.2">
      <c r="A639" s="1"/>
      <c r="B639" s="1"/>
      <c r="C639" s="3"/>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spans="1:69" ht="15.75" customHeight="1" x14ac:dyDescent="0.2">
      <c r="A640" s="1"/>
      <c r="B640" s="1"/>
      <c r="C640" s="3"/>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spans="1:69" ht="15.75" customHeight="1" x14ac:dyDescent="0.2">
      <c r="A641" s="1"/>
      <c r="B641" s="1"/>
      <c r="C641" s="3"/>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spans="1:69" ht="15.75" customHeight="1" x14ac:dyDescent="0.2">
      <c r="A642" s="1"/>
      <c r="B642" s="1"/>
      <c r="C642" s="3"/>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spans="1:69" ht="15.75" customHeight="1" x14ac:dyDescent="0.2">
      <c r="A643" s="1"/>
      <c r="B643" s="1"/>
      <c r="C643" s="3"/>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spans="1:69" ht="15.75" customHeight="1" x14ac:dyDescent="0.2">
      <c r="A644" s="1"/>
      <c r="B644" s="1"/>
      <c r="C644" s="3"/>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spans="1:69" ht="15.75" customHeight="1" x14ac:dyDescent="0.2">
      <c r="A645" s="1"/>
      <c r="B645" s="1"/>
      <c r="C645" s="3"/>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spans="1:69" ht="15.75" customHeight="1" x14ac:dyDescent="0.2">
      <c r="A646" s="1"/>
      <c r="B646" s="1"/>
      <c r="C646" s="3"/>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spans="1:69" ht="15.75" customHeight="1" x14ac:dyDescent="0.2">
      <c r="A647" s="1"/>
      <c r="B647" s="1"/>
      <c r="C647" s="3"/>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spans="1:69" ht="15.75" customHeight="1" x14ac:dyDescent="0.2">
      <c r="A648" s="1"/>
      <c r="B648" s="1"/>
      <c r="C648" s="3"/>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spans="1:69" ht="15.75" customHeight="1" x14ac:dyDescent="0.2">
      <c r="A649" s="1"/>
      <c r="B649" s="1"/>
      <c r="C649" s="3"/>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spans="1:69" ht="15.75" customHeight="1" x14ac:dyDescent="0.2">
      <c r="A650" s="1"/>
      <c r="B650" s="1"/>
      <c r="C650" s="3"/>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spans="1:69" ht="15.75" customHeight="1" x14ac:dyDescent="0.2">
      <c r="A651" s="1"/>
      <c r="B651" s="1"/>
      <c r="C651" s="3"/>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spans="1:69" ht="15.75" customHeight="1" x14ac:dyDescent="0.2">
      <c r="A652" s="1"/>
      <c r="B652" s="1"/>
      <c r="C652" s="3"/>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spans="1:69" ht="15.75" customHeight="1" x14ac:dyDescent="0.2">
      <c r="A653" s="1"/>
      <c r="B653" s="1"/>
      <c r="C653" s="3"/>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spans="1:69" ht="15.75" customHeight="1" x14ac:dyDescent="0.2">
      <c r="A654" s="1"/>
      <c r="B654" s="1"/>
      <c r="C654" s="3"/>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spans="1:69" ht="15.75" customHeight="1" x14ac:dyDescent="0.2">
      <c r="A655" s="1"/>
      <c r="B655" s="1"/>
      <c r="C655" s="3"/>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spans="1:69" ht="15.75" customHeight="1" x14ac:dyDescent="0.2">
      <c r="A656" s="1"/>
      <c r="B656" s="1"/>
      <c r="C656" s="3"/>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spans="1:69" ht="15.75" customHeight="1" x14ac:dyDescent="0.2">
      <c r="A657" s="1"/>
      <c r="B657" s="1"/>
      <c r="C657" s="3"/>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spans="1:69" ht="15.75" customHeight="1" x14ac:dyDescent="0.2">
      <c r="A658" s="1"/>
      <c r="B658" s="1"/>
      <c r="C658" s="3"/>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spans="1:69" ht="15.75" customHeight="1" x14ac:dyDescent="0.2">
      <c r="A659" s="1"/>
      <c r="B659" s="1"/>
      <c r="C659" s="3"/>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spans="1:69" ht="15.75" customHeight="1" x14ac:dyDescent="0.2">
      <c r="A660" s="1"/>
      <c r="B660" s="1"/>
      <c r="C660" s="3"/>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spans="1:69" ht="15.75" customHeight="1" x14ac:dyDescent="0.2">
      <c r="A661" s="1"/>
      <c r="B661" s="1"/>
      <c r="C661" s="3"/>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spans="1:69" ht="15.75" customHeight="1" x14ac:dyDescent="0.2">
      <c r="A662" s="1"/>
      <c r="B662" s="1"/>
      <c r="C662" s="3"/>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spans="1:69" ht="15.75" customHeight="1" x14ac:dyDescent="0.2">
      <c r="A663" s="1"/>
      <c r="B663" s="1"/>
      <c r="C663" s="3"/>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spans="1:69" ht="15.75" customHeight="1" x14ac:dyDescent="0.2">
      <c r="A664" s="1"/>
      <c r="B664" s="1"/>
      <c r="C664" s="3"/>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spans="1:69" ht="15.75" customHeight="1" x14ac:dyDescent="0.2">
      <c r="A665" s="1"/>
      <c r="B665" s="1"/>
      <c r="C665" s="3"/>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spans="1:69" ht="15.75" customHeight="1" x14ac:dyDescent="0.2">
      <c r="A666" s="1"/>
      <c r="B666" s="1"/>
      <c r="C666" s="3"/>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spans="1:69" ht="15.75" customHeight="1" x14ac:dyDescent="0.2">
      <c r="A667" s="1"/>
      <c r="B667" s="1"/>
      <c r="C667" s="3"/>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spans="1:69" ht="15.75" customHeight="1" x14ac:dyDescent="0.2">
      <c r="A668" s="1"/>
      <c r="B668" s="1"/>
      <c r="C668" s="3"/>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spans="1:69" ht="15.75" customHeight="1" x14ac:dyDescent="0.2">
      <c r="A669" s="1"/>
      <c r="B669" s="1"/>
      <c r="C669" s="3"/>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spans="1:69" ht="15.75" customHeight="1" x14ac:dyDescent="0.2">
      <c r="A670" s="1"/>
      <c r="B670" s="1"/>
      <c r="C670" s="3"/>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spans="1:69" ht="15.75" customHeight="1" x14ac:dyDescent="0.2">
      <c r="A671" s="1"/>
      <c r="B671" s="1"/>
      <c r="C671" s="3"/>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spans="1:69" ht="15.75" customHeight="1" x14ac:dyDescent="0.2">
      <c r="A672" s="1"/>
      <c r="B672" s="1"/>
      <c r="C672" s="3"/>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spans="1:69" ht="15.75" customHeight="1" x14ac:dyDescent="0.2">
      <c r="A673" s="1"/>
      <c r="B673" s="1"/>
      <c r="C673" s="3"/>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spans="1:69" ht="15.75" customHeight="1" x14ac:dyDescent="0.2">
      <c r="A674" s="1"/>
      <c r="B674" s="1"/>
      <c r="C674" s="3"/>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spans="1:69" ht="15.75" customHeight="1" x14ac:dyDescent="0.2">
      <c r="A675" s="1"/>
      <c r="B675" s="1"/>
      <c r="C675" s="3"/>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spans="1:69" ht="15.75" customHeight="1" x14ac:dyDescent="0.2">
      <c r="A676" s="1"/>
      <c r="B676" s="1"/>
      <c r="C676" s="3"/>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spans="1:69" ht="15.75" customHeight="1" x14ac:dyDescent="0.2">
      <c r="A677" s="1"/>
      <c r="B677" s="1"/>
      <c r="C677" s="3"/>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spans="1:69" ht="15.75" customHeight="1" x14ac:dyDescent="0.2">
      <c r="A678" s="1"/>
      <c r="B678" s="1"/>
      <c r="C678" s="3"/>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spans="1:69" ht="15.75" customHeight="1" x14ac:dyDescent="0.2">
      <c r="A679" s="1"/>
      <c r="B679" s="1"/>
      <c r="C679" s="3"/>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spans="1:69" ht="15.75" customHeight="1" x14ac:dyDescent="0.2">
      <c r="A680" s="1"/>
      <c r="B680" s="1"/>
      <c r="C680" s="3"/>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spans="1:69" ht="15.75" customHeight="1" x14ac:dyDescent="0.2">
      <c r="A681" s="1"/>
      <c r="B681" s="1"/>
      <c r="C681" s="3"/>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spans="1:69" ht="15.75" customHeight="1" x14ac:dyDescent="0.2">
      <c r="A682" s="1"/>
      <c r="B682" s="1"/>
      <c r="C682" s="3"/>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spans="1:69" ht="15.75" customHeight="1" x14ac:dyDescent="0.2">
      <c r="A683" s="1"/>
      <c r="B683" s="1"/>
      <c r="C683" s="3"/>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spans="1:69" ht="15.75" customHeight="1" x14ac:dyDescent="0.2">
      <c r="A684" s="1"/>
      <c r="B684" s="1"/>
      <c r="C684" s="3"/>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spans="1:69" ht="15.75" customHeight="1" x14ac:dyDescent="0.2">
      <c r="A685" s="1"/>
      <c r="B685" s="1"/>
      <c r="C685" s="3"/>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spans="1:69" ht="15.75" customHeight="1" x14ac:dyDescent="0.2">
      <c r="A686" s="1"/>
      <c r="B686" s="1"/>
      <c r="C686" s="3"/>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spans="1:69" ht="15.75" customHeight="1" x14ac:dyDescent="0.2">
      <c r="A687" s="1"/>
      <c r="B687" s="1"/>
      <c r="C687" s="3"/>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spans="1:69" ht="15.75" customHeight="1" x14ac:dyDescent="0.2">
      <c r="A688" s="1"/>
      <c r="B688" s="1"/>
      <c r="C688" s="3"/>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spans="1:69" ht="15.75" customHeight="1" x14ac:dyDescent="0.2">
      <c r="A689" s="1"/>
      <c r="B689" s="1"/>
      <c r="C689" s="3"/>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spans="1:69" ht="15.75" customHeight="1" x14ac:dyDescent="0.2">
      <c r="A690" s="1"/>
      <c r="B690" s="1"/>
      <c r="C690" s="3"/>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spans="1:69" ht="15.75" customHeight="1" x14ac:dyDescent="0.2">
      <c r="A691" s="1"/>
      <c r="B691" s="1"/>
      <c r="C691" s="3"/>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spans="1:69" ht="15.75" customHeight="1" x14ac:dyDescent="0.2">
      <c r="A692" s="1"/>
      <c r="B692" s="1"/>
      <c r="C692" s="3"/>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spans="1:69" ht="15.75" customHeight="1" x14ac:dyDescent="0.2">
      <c r="A693" s="1"/>
      <c r="B693" s="1"/>
      <c r="C693" s="3"/>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spans="1:69" ht="15.75" customHeight="1" x14ac:dyDescent="0.2">
      <c r="A694" s="1"/>
      <c r="B694" s="1"/>
      <c r="C694" s="3"/>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spans="1:69" ht="15.75" customHeight="1" x14ac:dyDescent="0.2">
      <c r="A695" s="1"/>
      <c r="B695" s="1"/>
      <c r="C695" s="3"/>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spans="1:69" ht="15.75" customHeight="1" x14ac:dyDescent="0.2">
      <c r="A696" s="1"/>
      <c r="B696" s="1"/>
      <c r="C696" s="3"/>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spans="1:69" ht="15.75" customHeight="1" x14ac:dyDescent="0.2">
      <c r="A697" s="1"/>
      <c r="B697" s="1"/>
      <c r="C697" s="3"/>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spans="1:69" ht="15.75" customHeight="1" x14ac:dyDescent="0.2">
      <c r="A698" s="1"/>
      <c r="B698" s="1"/>
      <c r="C698" s="3"/>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spans="1:69" ht="15.75" customHeight="1" x14ac:dyDescent="0.2">
      <c r="A699" s="1"/>
      <c r="B699" s="1"/>
      <c r="C699" s="3"/>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spans="1:69" ht="15.75" customHeight="1" x14ac:dyDescent="0.2">
      <c r="A700" s="1"/>
      <c r="B700" s="1"/>
      <c r="C700" s="3"/>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spans="1:69" ht="15.75" customHeight="1" x14ac:dyDescent="0.2">
      <c r="A701" s="1"/>
      <c r="B701" s="1"/>
      <c r="C701" s="3"/>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spans="1:69" ht="15.75" customHeight="1" x14ac:dyDescent="0.2">
      <c r="A702" s="1"/>
      <c r="B702" s="1"/>
      <c r="C702" s="3"/>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spans="1:69" ht="15.75" customHeight="1" x14ac:dyDescent="0.2">
      <c r="A703" s="1"/>
      <c r="B703" s="1"/>
      <c r="C703" s="3"/>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spans="1:69" ht="15.75" customHeight="1" x14ac:dyDescent="0.2">
      <c r="A704" s="1"/>
      <c r="B704" s="1"/>
      <c r="C704" s="3"/>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spans="1:69" ht="15.75" customHeight="1" x14ac:dyDescent="0.2">
      <c r="A705" s="1"/>
      <c r="B705" s="1"/>
      <c r="C705" s="3"/>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spans="1:69" ht="15.75" customHeight="1" x14ac:dyDescent="0.2">
      <c r="A706" s="1"/>
      <c r="B706" s="1"/>
      <c r="C706" s="3"/>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spans="1:69" ht="15.75" customHeight="1" x14ac:dyDescent="0.2">
      <c r="A707" s="1"/>
      <c r="B707" s="1"/>
      <c r="C707" s="3"/>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spans="1:69" ht="15.75" customHeight="1" x14ac:dyDescent="0.2">
      <c r="A708" s="1"/>
      <c r="B708" s="1"/>
      <c r="C708" s="3"/>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spans="1:69" ht="15.75" customHeight="1" x14ac:dyDescent="0.2">
      <c r="A709" s="1"/>
      <c r="B709" s="1"/>
      <c r="C709" s="3"/>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spans="1:69" ht="15.75" customHeight="1" x14ac:dyDescent="0.2">
      <c r="A710" s="1"/>
      <c r="B710" s="1"/>
      <c r="C710" s="3"/>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spans="1:69" ht="15.75" customHeight="1" x14ac:dyDescent="0.2">
      <c r="A711" s="1"/>
      <c r="B711" s="1"/>
      <c r="C711" s="3"/>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spans="1:69" ht="15.75" customHeight="1" x14ac:dyDescent="0.2">
      <c r="A712" s="1"/>
      <c r="B712" s="1"/>
      <c r="C712" s="3"/>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spans="1:69" ht="15.75" customHeight="1" x14ac:dyDescent="0.2">
      <c r="A713" s="1"/>
      <c r="B713" s="1"/>
      <c r="C713" s="3"/>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spans="1:69" ht="15.75" customHeight="1" x14ac:dyDescent="0.2">
      <c r="A714" s="1"/>
      <c r="B714" s="1"/>
      <c r="C714" s="3"/>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spans="1:69" ht="15.75" customHeight="1" x14ac:dyDescent="0.2">
      <c r="A715" s="1"/>
      <c r="B715" s="1"/>
      <c r="C715" s="3"/>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spans="1:69" ht="15.75" customHeight="1" x14ac:dyDescent="0.2">
      <c r="A716" s="1"/>
      <c r="B716" s="1"/>
      <c r="C716" s="3"/>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spans="1:69" ht="15.75" customHeight="1" x14ac:dyDescent="0.2">
      <c r="A717" s="1"/>
      <c r="B717" s="1"/>
      <c r="C717" s="3"/>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spans="1:69" ht="15.75" customHeight="1" x14ac:dyDescent="0.2">
      <c r="A718" s="1"/>
      <c r="B718" s="1"/>
      <c r="C718" s="3"/>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spans="1:69" ht="15.75" customHeight="1" x14ac:dyDescent="0.2">
      <c r="A719" s="1"/>
      <c r="B719" s="1"/>
      <c r="C719" s="3"/>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spans="1:69" ht="15.75" customHeight="1" x14ac:dyDescent="0.2">
      <c r="A720" s="1"/>
      <c r="B720" s="1"/>
      <c r="C720" s="3"/>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spans="1:69" ht="15.75" customHeight="1" x14ac:dyDescent="0.2">
      <c r="A721" s="1"/>
      <c r="B721" s="1"/>
      <c r="C721" s="3"/>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spans="1:69" ht="15.75" customHeight="1" x14ac:dyDescent="0.2">
      <c r="A722" s="1"/>
      <c r="B722" s="1"/>
      <c r="C722" s="3"/>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spans="1:69" ht="15.75" customHeight="1" x14ac:dyDescent="0.2">
      <c r="A723" s="1"/>
      <c r="B723" s="1"/>
      <c r="C723" s="3"/>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spans="1:69" ht="15.75" customHeight="1" x14ac:dyDescent="0.2">
      <c r="A724" s="1"/>
      <c r="B724" s="1"/>
      <c r="C724" s="3"/>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spans="1:69" ht="15.75" customHeight="1" x14ac:dyDescent="0.2">
      <c r="A725" s="1"/>
      <c r="B725" s="1"/>
      <c r="C725" s="3"/>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spans="1:69" ht="15.75" customHeight="1" x14ac:dyDescent="0.2">
      <c r="A726" s="1"/>
      <c r="B726" s="1"/>
      <c r="C726" s="3"/>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spans="1:69" ht="15.75" customHeight="1" x14ac:dyDescent="0.2">
      <c r="A727" s="1"/>
      <c r="B727" s="1"/>
      <c r="C727" s="3"/>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spans="1:69" ht="15.75" customHeight="1" x14ac:dyDescent="0.2">
      <c r="A728" s="1"/>
      <c r="B728" s="1"/>
      <c r="C728" s="3"/>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spans="1:69" ht="15.75" customHeight="1" x14ac:dyDescent="0.2">
      <c r="A729" s="1"/>
      <c r="B729" s="1"/>
      <c r="C729" s="3"/>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spans="1:69" ht="15.75" customHeight="1" x14ac:dyDescent="0.2">
      <c r="A730" s="1"/>
      <c r="B730" s="1"/>
      <c r="C730" s="3"/>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spans="1:69" ht="15.75" customHeight="1" x14ac:dyDescent="0.2">
      <c r="A731" s="1"/>
      <c r="B731" s="1"/>
      <c r="C731" s="3"/>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spans="1:69" ht="15.75" customHeight="1" x14ac:dyDescent="0.2">
      <c r="A732" s="1"/>
      <c r="B732" s="1"/>
      <c r="C732" s="3"/>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spans="1:69" ht="15.75" customHeight="1" x14ac:dyDescent="0.2">
      <c r="A733" s="1"/>
      <c r="B733" s="1"/>
      <c r="C733" s="3"/>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spans="1:69" ht="15.75" customHeight="1" x14ac:dyDescent="0.2">
      <c r="A734" s="1"/>
      <c r="B734" s="1"/>
      <c r="C734" s="3"/>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spans="1:69" ht="15.75" customHeight="1" x14ac:dyDescent="0.2">
      <c r="A735" s="1"/>
      <c r="B735" s="1"/>
      <c r="C735" s="3"/>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spans="1:69" ht="15.75" customHeight="1" x14ac:dyDescent="0.2">
      <c r="A736" s="1"/>
      <c r="B736" s="1"/>
      <c r="C736" s="3"/>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spans="1:69" ht="15.75" customHeight="1" x14ac:dyDescent="0.2">
      <c r="A737" s="1"/>
      <c r="B737" s="1"/>
      <c r="C737" s="3"/>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spans="1:69" ht="15.75" customHeight="1" x14ac:dyDescent="0.2">
      <c r="A738" s="1"/>
      <c r="B738" s="1"/>
      <c r="C738" s="3"/>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spans="1:69" ht="15.75" customHeight="1" x14ac:dyDescent="0.2">
      <c r="A739" s="1"/>
      <c r="B739" s="1"/>
      <c r="C739" s="3"/>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spans="1:69" ht="15.75" customHeight="1" x14ac:dyDescent="0.2">
      <c r="A740" s="1"/>
      <c r="B740" s="1"/>
      <c r="C740" s="3"/>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spans="1:69" ht="15.75" customHeight="1" x14ac:dyDescent="0.2">
      <c r="A741" s="1"/>
      <c r="B741" s="1"/>
      <c r="C741" s="3"/>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spans="1:69" ht="15.75" customHeight="1" x14ac:dyDescent="0.2">
      <c r="A742" s="1"/>
      <c r="B742" s="1"/>
      <c r="C742" s="3"/>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spans="1:69" ht="15.75" customHeight="1" x14ac:dyDescent="0.2">
      <c r="A743" s="1"/>
      <c r="B743" s="1"/>
      <c r="C743" s="3"/>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spans="1:69" ht="15.75" customHeight="1" x14ac:dyDescent="0.2">
      <c r="A744" s="1"/>
      <c r="B744" s="1"/>
      <c r="C744" s="3"/>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spans="1:69" ht="15.75" customHeight="1" x14ac:dyDescent="0.2">
      <c r="A745" s="1"/>
      <c r="B745" s="1"/>
      <c r="C745" s="3"/>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spans="1:69" ht="15.75" customHeight="1" x14ac:dyDescent="0.2">
      <c r="A746" s="1"/>
      <c r="B746" s="1"/>
      <c r="C746" s="3"/>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spans="1:69" ht="15.75" customHeight="1" x14ac:dyDescent="0.2">
      <c r="A747" s="1"/>
      <c r="B747" s="1"/>
      <c r="C747" s="3"/>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spans="1:69" ht="15.75" customHeight="1" x14ac:dyDescent="0.2">
      <c r="A748" s="1"/>
      <c r="B748" s="1"/>
      <c r="C748" s="3"/>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spans="1:69" ht="15.75" customHeight="1" x14ac:dyDescent="0.2">
      <c r="A749" s="1"/>
      <c r="B749" s="1"/>
      <c r="C749" s="3"/>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spans="1:69" ht="15.75" customHeight="1" x14ac:dyDescent="0.2">
      <c r="A750" s="1"/>
      <c r="B750" s="1"/>
      <c r="C750" s="3"/>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spans="1:69" ht="15.75" customHeight="1" x14ac:dyDescent="0.2">
      <c r="A751" s="1"/>
      <c r="B751" s="1"/>
      <c r="C751" s="3"/>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spans="1:69" ht="15.75" customHeight="1" x14ac:dyDescent="0.2">
      <c r="A752" s="1"/>
      <c r="B752" s="1"/>
      <c r="C752" s="3"/>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spans="1:69" ht="15.75" customHeight="1" x14ac:dyDescent="0.2">
      <c r="A753" s="1"/>
      <c r="B753" s="1"/>
      <c r="C753" s="3"/>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spans="1:69" ht="15.75" customHeight="1" x14ac:dyDescent="0.2">
      <c r="A754" s="1"/>
      <c r="B754" s="1"/>
      <c r="C754" s="3"/>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spans="1:69" ht="15.75" customHeight="1" x14ac:dyDescent="0.2">
      <c r="A755" s="1"/>
      <c r="B755" s="1"/>
      <c r="C755" s="3"/>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spans="1:69" ht="15.75" customHeight="1" x14ac:dyDescent="0.2">
      <c r="A756" s="1"/>
      <c r="B756" s="1"/>
      <c r="C756" s="3"/>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spans="1:69" ht="15.75" customHeight="1" x14ac:dyDescent="0.2">
      <c r="A757" s="1"/>
      <c r="B757" s="1"/>
      <c r="C757" s="3"/>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spans="1:69" ht="15.75" customHeight="1" x14ac:dyDescent="0.2">
      <c r="A758" s="1"/>
      <c r="B758" s="1"/>
      <c r="C758" s="3"/>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spans="1:69" ht="15.75" customHeight="1" x14ac:dyDescent="0.2">
      <c r="A759" s="1"/>
      <c r="B759" s="1"/>
      <c r="C759" s="3"/>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spans="1:69" ht="15.75" customHeight="1" x14ac:dyDescent="0.2">
      <c r="A760" s="1"/>
      <c r="B760" s="1"/>
      <c r="C760" s="3"/>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spans="1:69" ht="15.75" customHeight="1" x14ac:dyDescent="0.2">
      <c r="A761" s="1"/>
      <c r="B761" s="1"/>
      <c r="C761" s="3"/>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spans="1:69" ht="15.75" customHeight="1" x14ac:dyDescent="0.2">
      <c r="A762" s="1"/>
      <c r="B762" s="1"/>
      <c r="C762" s="3"/>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spans="1:69" ht="15.75" customHeight="1" x14ac:dyDescent="0.2">
      <c r="A763" s="1"/>
      <c r="B763" s="1"/>
      <c r="C763" s="3"/>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spans="1:69" ht="15.75" customHeight="1" x14ac:dyDescent="0.2">
      <c r="A764" s="1"/>
      <c r="B764" s="1"/>
      <c r="C764" s="3"/>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spans="1:69" ht="15.75" customHeight="1" x14ac:dyDescent="0.2">
      <c r="A765" s="1"/>
      <c r="B765" s="1"/>
      <c r="C765" s="3"/>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spans="1:69" ht="15.75" customHeight="1" x14ac:dyDescent="0.2">
      <c r="A766" s="1"/>
      <c r="B766" s="1"/>
      <c r="C766" s="3"/>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spans="1:69" ht="15.75" customHeight="1" x14ac:dyDescent="0.2">
      <c r="A767" s="1"/>
      <c r="B767" s="1"/>
      <c r="C767" s="3"/>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spans="1:69" ht="15.75" customHeight="1" x14ac:dyDescent="0.2">
      <c r="A768" s="1"/>
      <c r="B768" s="1"/>
      <c r="C768" s="3"/>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spans="1:69" ht="15.75" customHeight="1" x14ac:dyDescent="0.2">
      <c r="A769" s="1"/>
      <c r="B769" s="1"/>
      <c r="C769" s="3"/>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spans="1:69" ht="15.75" customHeight="1" x14ac:dyDescent="0.2">
      <c r="A770" s="1"/>
      <c r="B770" s="1"/>
      <c r="C770" s="3"/>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spans="1:69" ht="15.75" customHeight="1" x14ac:dyDescent="0.2">
      <c r="A771" s="1"/>
      <c r="B771" s="1"/>
      <c r="C771" s="3"/>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spans="1:69" ht="15.75" customHeight="1" x14ac:dyDescent="0.2">
      <c r="A772" s="1"/>
      <c r="B772" s="1"/>
      <c r="C772" s="3"/>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spans="1:69" ht="15.75" customHeight="1" x14ac:dyDescent="0.2">
      <c r="A773" s="1"/>
      <c r="B773" s="1"/>
      <c r="C773" s="3"/>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spans="1:69" ht="15.75" customHeight="1" x14ac:dyDescent="0.2">
      <c r="A774" s="1"/>
      <c r="B774" s="1"/>
      <c r="C774" s="3"/>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spans="1:69" ht="15.75" customHeight="1" x14ac:dyDescent="0.2">
      <c r="A775" s="1"/>
      <c r="B775" s="1"/>
      <c r="C775" s="3"/>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spans="1:69" ht="15.75" customHeight="1" x14ac:dyDescent="0.2">
      <c r="A776" s="1"/>
      <c r="B776" s="1"/>
      <c r="C776" s="3"/>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spans="1:69" ht="15.75" customHeight="1" x14ac:dyDescent="0.2">
      <c r="A777" s="1"/>
      <c r="B777" s="1"/>
      <c r="C777" s="3"/>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spans="1:69" ht="15.75" customHeight="1" x14ac:dyDescent="0.2">
      <c r="A778" s="1"/>
      <c r="B778" s="1"/>
      <c r="C778" s="3"/>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spans="1:69" ht="15.75" customHeight="1" x14ac:dyDescent="0.2">
      <c r="A779" s="1"/>
      <c r="B779" s="1"/>
      <c r="C779" s="3"/>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spans="1:69" ht="15.75" customHeight="1" x14ac:dyDescent="0.2">
      <c r="A780" s="1"/>
      <c r="B780" s="1"/>
      <c r="C780" s="3"/>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spans="1:69" ht="15.75" customHeight="1" x14ac:dyDescent="0.2">
      <c r="A781" s="1"/>
      <c r="B781" s="1"/>
      <c r="C781" s="3"/>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spans="1:69" ht="15.75" customHeight="1" x14ac:dyDescent="0.2">
      <c r="A782" s="1"/>
      <c r="B782" s="1"/>
      <c r="C782" s="3"/>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spans="1:69" ht="15.75" customHeight="1" x14ac:dyDescent="0.2">
      <c r="A783" s="1"/>
      <c r="B783" s="1"/>
      <c r="C783" s="3"/>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spans="1:69" ht="15.75" customHeight="1" x14ac:dyDescent="0.2">
      <c r="A784" s="1"/>
      <c r="B784" s="1"/>
      <c r="C784" s="3"/>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spans="1:69" ht="15.75" customHeight="1" x14ac:dyDescent="0.2">
      <c r="A785" s="1"/>
      <c r="B785" s="1"/>
      <c r="C785" s="3"/>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spans="1:69" ht="15.75" customHeight="1" x14ac:dyDescent="0.2">
      <c r="A786" s="1"/>
      <c r="B786" s="1"/>
      <c r="C786" s="3"/>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spans="1:69" ht="15.75" customHeight="1" x14ac:dyDescent="0.2">
      <c r="A787" s="1"/>
      <c r="B787" s="1"/>
      <c r="C787" s="3"/>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spans="1:69" ht="15.75" customHeight="1" x14ac:dyDescent="0.2">
      <c r="A788" s="1"/>
      <c r="B788" s="1"/>
      <c r="C788" s="3"/>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spans="1:69" ht="15.75" customHeight="1" x14ac:dyDescent="0.2">
      <c r="A789" s="1"/>
      <c r="B789" s="1"/>
      <c r="C789" s="3"/>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spans="1:69" ht="15.75" customHeight="1" x14ac:dyDescent="0.2">
      <c r="A790" s="1"/>
      <c r="B790" s="1"/>
      <c r="C790" s="3"/>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spans="1:69" ht="15.75" customHeight="1" x14ac:dyDescent="0.2">
      <c r="A791" s="1"/>
      <c r="B791" s="1"/>
      <c r="C791" s="3"/>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spans="1:69" ht="15.75" customHeight="1" x14ac:dyDescent="0.2">
      <c r="A792" s="1"/>
      <c r="B792" s="1"/>
      <c r="C792" s="3"/>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spans="1:69" ht="15.75" customHeight="1" x14ac:dyDescent="0.2">
      <c r="A793" s="1"/>
      <c r="B793" s="1"/>
      <c r="C793" s="3"/>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spans="1:69" ht="15.75" customHeight="1" x14ac:dyDescent="0.2">
      <c r="A794" s="1"/>
      <c r="B794" s="1"/>
      <c r="C794" s="3"/>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spans="1:69" ht="15.75" customHeight="1" x14ac:dyDescent="0.2">
      <c r="A795" s="1"/>
      <c r="B795" s="1"/>
      <c r="C795" s="3"/>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spans="1:69" ht="15.75" customHeight="1" x14ac:dyDescent="0.2">
      <c r="A796" s="1"/>
      <c r="B796" s="1"/>
      <c r="C796" s="3"/>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spans="1:69" ht="15.75" customHeight="1" x14ac:dyDescent="0.2">
      <c r="A797" s="1"/>
      <c r="B797" s="1"/>
      <c r="C797" s="3"/>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spans="1:69" ht="15.75" customHeight="1" x14ac:dyDescent="0.2">
      <c r="A798" s="1"/>
      <c r="B798" s="1"/>
      <c r="C798" s="3"/>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spans="1:69" ht="15.75" customHeight="1" x14ac:dyDescent="0.2">
      <c r="A799" s="1"/>
      <c r="B799" s="1"/>
      <c r="C799" s="3"/>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spans="1:69" ht="15.75" customHeight="1" x14ac:dyDescent="0.2">
      <c r="A800" s="1"/>
      <c r="B800" s="1"/>
      <c r="C800" s="3"/>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spans="1:69" ht="15.75" customHeight="1" x14ac:dyDescent="0.2">
      <c r="A801" s="1"/>
      <c r="B801" s="1"/>
      <c r="C801" s="3"/>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spans="1:69" ht="15.75" customHeight="1" x14ac:dyDescent="0.2">
      <c r="A802" s="1"/>
      <c r="B802" s="1"/>
      <c r="C802" s="3"/>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spans="1:69" ht="15.75" customHeight="1" x14ac:dyDescent="0.2">
      <c r="A803" s="1"/>
      <c r="B803" s="1"/>
      <c r="C803" s="3"/>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spans="1:69" ht="15.75" customHeight="1" x14ac:dyDescent="0.2">
      <c r="A804" s="1"/>
      <c r="B804" s="1"/>
      <c r="C804" s="3"/>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spans="1:69" ht="15.75" customHeight="1" x14ac:dyDescent="0.2">
      <c r="A805" s="1"/>
      <c r="B805" s="1"/>
      <c r="C805" s="3"/>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spans="1:69" ht="15.75" customHeight="1" x14ac:dyDescent="0.2">
      <c r="A806" s="1"/>
      <c r="B806" s="1"/>
      <c r="C806" s="3"/>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spans="1:69" ht="15.75" customHeight="1" x14ac:dyDescent="0.2">
      <c r="A807" s="1"/>
      <c r="B807" s="1"/>
      <c r="C807" s="3"/>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spans="1:69" ht="15.75" customHeight="1" x14ac:dyDescent="0.2">
      <c r="A808" s="1"/>
      <c r="B808" s="1"/>
      <c r="C808" s="3"/>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spans="1:69" ht="15.75" customHeight="1" x14ac:dyDescent="0.2">
      <c r="A809" s="1"/>
      <c r="B809" s="1"/>
      <c r="C809" s="3"/>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spans="1:69" ht="15.75" customHeight="1" x14ac:dyDescent="0.2">
      <c r="A810" s="1"/>
      <c r="B810" s="1"/>
      <c r="C810" s="3"/>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spans="1:69" ht="15.75" customHeight="1" x14ac:dyDescent="0.2">
      <c r="A811" s="1"/>
      <c r="B811" s="1"/>
      <c r="C811" s="3"/>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spans="1:69" ht="15.75" customHeight="1" x14ac:dyDescent="0.2">
      <c r="A812" s="1"/>
      <c r="B812" s="1"/>
      <c r="C812" s="3"/>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spans="1:69" ht="15.75" customHeight="1" x14ac:dyDescent="0.2">
      <c r="A813" s="1"/>
      <c r="B813" s="1"/>
      <c r="C813" s="3"/>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spans="1:69" ht="15.75" customHeight="1" x14ac:dyDescent="0.2">
      <c r="A814" s="1"/>
      <c r="B814" s="1"/>
      <c r="C814" s="3"/>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spans="1:69" ht="15.75" customHeight="1" x14ac:dyDescent="0.2">
      <c r="A815" s="1"/>
      <c r="B815" s="1"/>
      <c r="C815" s="3"/>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spans="1:69" ht="15.75" customHeight="1" x14ac:dyDescent="0.2">
      <c r="A816" s="1"/>
      <c r="B816" s="1"/>
      <c r="C816" s="3"/>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spans="1:69" ht="15.75" customHeight="1" x14ac:dyDescent="0.2">
      <c r="A817" s="1"/>
      <c r="B817" s="1"/>
      <c r="C817" s="3"/>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spans="1:69" ht="15.75" customHeight="1" x14ac:dyDescent="0.2">
      <c r="A818" s="1"/>
      <c r="B818" s="1"/>
      <c r="C818" s="3"/>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spans="1:69" ht="15.75" customHeight="1" x14ac:dyDescent="0.2">
      <c r="A819" s="1"/>
      <c r="B819" s="1"/>
      <c r="C819" s="3"/>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spans="1:69" ht="15.75" customHeight="1" x14ac:dyDescent="0.2">
      <c r="A820" s="1"/>
      <c r="B820" s="1"/>
      <c r="C820" s="3"/>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spans="1:69" ht="15.75" customHeight="1" x14ac:dyDescent="0.2">
      <c r="A821" s="1"/>
      <c r="B821" s="1"/>
      <c r="C821" s="3"/>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spans="1:69" ht="15.75" customHeight="1" x14ac:dyDescent="0.2">
      <c r="A822" s="1"/>
      <c r="B822" s="1"/>
      <c r="C822" s="3"/>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spans="1:69" ht="15.75" customHeight="1" x14ac:dyDescent="0.2">
      <c r="A823" s="1"/>
      <c r="B823" s="1"/>
      <c r="C823" s="3"/>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spans="1:69" ht="15.75" customHeight="1" x14ac:dyDescent="0.2">
      <c r="A824" s="1"/>
      <c r="B824" s="1"/>
      <c r="C824" s="3"/>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spans="1:69" ht="15.75" customHeight="1" x14ac:dyDescent="0.2">
      <c r="A825" s="1"/>
      <c r="B825" s="1"/>
      <c r="C825" s="3"/>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spans="1:69" ht="15.75" customHeight="1" x14ac:dyDescent="0.2">
      <c r="A826" s="1"/>
      <c r="B826" s="1"/>
      <c r="C826" s="3"/>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spans="1:69" ht="15.75" customHeight="1" x14ac:dyDescent="0.2">
      <c r="A827" s="1"/>
      <c r="B827" s="1"/>
      <c r="C827" s="3"/>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spans="1:69" ht="15.75" customHeight="1" x14ac:dyDescent="0.2">
      <c r="A828" s="1"/>
      <c r="B828" s="1"/>
      <c r="C828" s="3"/>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spans="1:69" ht="15.75" customHeight="1" x14ac:dyDescent="0.2">
      <c r="A829" s="1"/>
      <c r="B829" s="1"/>
      <c r="C829" s="3"/>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spans="1:69" ht="15.75" customHeight="1" x14ac:dyDescent="0.2">
      <c r="A830" s="1"/>
      <c r="B830" s="1"/>
      <c r="C830" s="3"/>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spans="1:69" ht="15.75" customHeight="1" x14ac:dyDescent="0.2">
      <c r="A831" s="1"/>
      <c r="B831" s="1"/>
      <c r="C831" s="3"/>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spans="1:69" ht="15.75" customHeight="1" x14ac:dyDescent="0.2">
      <c r="A832" s="1"/>
      <c r="B832" s="1"/>
      <c r="C832" s="3"/>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spans="1:69" ht="15.75" customHeight="1" x14ac:dyDescent="0.2">
      <c r="A833" s="1"/>
      <c r="B833" s="1"/>
      <c r="C833" s="3"/>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spans="1:69" ht="15.75" customHeight="1" x14ac:dyDescent="0.2">
      <c r="A834" s="1"/>
      <c r="B834" s="1"/>
      <c r="C834" s="3"/>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spans="1:69" ht="15.75" customHeight="1" x14ac:dyDescent="0.2">
      <c r="A835" s="1"/>
      <c r="B835" s="1"/>
      <c r="C835" s="3"/>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spans="1:69" ht="15.75" customHeight="1" x14ac:dyDescent="0.2">
      <c r="A836" s="1"/>
      <c r="B836" s="1"/>
      <c r="C836" s="3"/>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spans="1:69" ht="15.75" customHeight="1" x14ac:dyDescent="0.2">
      <c r="A837" s="1"/>
      <c r="B837" s="1"/>
      <c r="C837" s="3"/>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spans="1:69" ht="15.75" customHeight="1" x14ac:dyDescent="0.2">
      <c r="A838" s="1"/>
      <c r="B838" s="1"/>
      <c r="C838" s="3"/>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spans="1:69" ht="15.75" customHeight="1" x14ac:dyDescent="0.2">
      <c r="A839" s="1"/>
      <c r="B839" s="1"/>
      <c r="C839" s="3"/>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spans="1:69" ht="15.75" customHeight="1" x14ac:dyDescent="0.2">
      <c r="A840" s="1"/>
      <c r="B840" s="1"/>
      <c r="C840" s="3"/>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spans="1:69" ht="15.75" customHeight="1" x14ac:dyDescent="0.2">
      <c r="A841" s="1"/>
      <c r="B841" s="1"/>
      <c r="C841" s="3"/>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spans="1:69" ht="15.75" customHeight="1" x14ac:dyDescent="0.2">
      <c r="A842" s="1"/>
      <c r="B842" s="1"/>
      <c r="C842" s="3"/>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spans="1:69" ht="15.75" customHeight="1" x14ac:dyDescent="0.2">
      <c r="A843" s="1"/>
      <c r="B843" s="1"/>
      <c r="C843" s="3"/>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spans="1:69" ht="15.75" customHeight="1" x14ac:dyDescent="0.2">
      <c r="A844" s="1"/>
      <c r="B844" s="1"/>
      <c r="C844" s="3"/>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spans="1:69" ht="15.75" customHeight="1" x14ac:dyDescent="0.2">
      <c r="A845" s="1"/>
      <c r="B845" s="1"/>
      <c r="C845" s="3"/>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spans="1:69" ht="15.75" customHeight="1" x14ac:dyDescent="0.2">
      <c r="A846" s="1"/>
      <c r="B846" s="1"/>
      <c r="C846" s="3"/>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spans="1:69" ht="15.75" customHeight="1" x14ac:dyDescent="0.2">
      <c r="A847" s="1"/>
      <c r="B847" s="1"/>
      <c r="C847" s="3"/>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spans="1:69" ht="15.75" customHeight="1" x14ac:dyDescent="0.2">
      <c r="A848" s="1"/>
      <c r="B848" s="1"/>
      <c r="C848" s="3"/>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spans="1:69" ht="15.75" customHeight="1" x14ac:dyDescent="0.2">
      <c r="A849" s="1"/>
      <c r="B849" s="1"/>
      <c r="C849" s="3"/>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spans="1:69" ht="15.75" customHeight="1" x14ac:dyDescent="0.2">
      <c r="A850" s="1"/>
      <c r="B850" s="1"/>
      <c r="C850" s="3"/>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spans="1:69" ht="15.75" customHeight="1" x14ac:dyDescent="0.2">
      <c r="A851" s="1"/>
      <c r="B851" s="1"/>
      <c r="C851" s="3"/>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spans="1:69" ht="15.75" customHeight="1" x14ac:dyDescent="0.2">
      <c r="A852" s="1"/>
      <c r="B852" s="1"/>
      <c r="C852" s="3"/>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spans="1:69" ht="15.75" customHeight="1" x14ac:dyDescent="0.2">
      <c r="A853" s="1"/>
      <c r="B853" s="1"/>
      <c r="C853" s="3"/>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spans="1:69" ht="15.75" customHeight="1" x14ac:dyDescent="0.2">
      <c r="A854" s="1"/>
      <c r="B854" s="1"/>
      <c r="C854" s="3"/>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spans="1:69" ht="15.75" customHeight="1" x14ac:dyDescent="0.2">
      <c r="A855" s="1"/>
      <c r="B855" s="1"/>
      <c r="C855" s="3"/>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spans="1:69" ht="15.75" customHeight="1" x14ac:dyDescent="0.2">
      <c r="A856" s="1"/>
      <c r="B856" s="1"/>
      <c r="C856" s="3"/>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spans="1:69" ht="15.75" customHeight="1" x14ac:dyDescent="0.2">
      <c r="A857" s="1"/>
      <c r="B857" s="1"/>
      <c r="C857" s="3"/>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spans="1:69" ht="15.75" customHeight="1" x14ac:dyDescent="0.2">
      <c r="A858" s="1"/>
      <c r="B858" s="1"/>
      <c r="C858" s="3"/>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spans="1:69" ht="15.75" customHeight="1" x14ac:dyDescent="0.2">
      <c r="A859" s="1"/>
      <c r="B859" s="1"/>
      <c r="C859" s="3"/>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spans="1:69" ht="15.75" customHeight="1" x14ac:dyDescent="0.2">
      <c r="A860" s="1"/>
      <c r="B860" s="1"/>
      <c r="C860" s="3"/>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spans="1:69" ht="15.75" customHeight="1" x14ac:dyDescent="0.2">
      <c r="A861" s="1"/>
      <c r="B861" s="1"/>
      <c r="C861" s="3"/>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spans="1:69" ht="15.75" customHeight="1" x14ac:dyDescent="0.2">
      <c r="A862" s="1"/>
      <c r="B862" s="1"/>
      <c r="C862" s="3"/>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spans="1:69" ht="15.75" customHeight="1" x14ac:dyDescent="0.2">
      <c r="A863" s="1"/>
      <c r="B863" s="1"/>
      <c r="C863" s="3"/>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spans="1:69" ht="15.75" customHeight="1" x14ac:dyDescent="0.2">
      <c r="A864" s="1"/>
      <c r="B864" s="1"/>
      <c r="C864" s="3"/>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spans="1:69" ht="15.75" customHeight="1" x14ac:dyDescent="0.2">
      <c r="A865" s="1"/>
      <c r="B865" s="1"/>
      <c r="C865" s="3"/>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spans="1:69" ht="15.75" customHeight="1" x14ac:dyDescent="0.2">
      <c r="A866" s="1"/>
      <c r="B866" s="1"/>
      <c r="C866" s="3"/>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spans="1:69" ht="15.75" customHeight="1" x14ac:dyDescent="0.2">
      <c r="A867" s="1"/>
      <c r="B867" s="1"/>
      <c r="C867" s="3"/>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spans="1:69" ht="15.75" customHeight="1" x14ac:dyDescent="0.2">
      <c r="A868" s="1"/>
      <c r="B868" s="1"/>
      <c r="C868" s="3"/>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spans="1:69" ht="15.75" customHeight="1" x14ac:dyDescent="0.2">
      <c r="A869" s="1"/>
      <c r="B869" s="1"/>
      <c r="C869" s="3"/>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spans="1:69" ht="15.75" customHeight="1" x14ac:dyDescent="0.2">
      <c r="A870" s="1"/>
      <c r="B870" s="1"/>
      <c r="C870" s="3"/>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spans="1:69" ht="15.75" customHeight="1" x14ac:dyDescent="0.2">
      <c r="A871" s="1"/>
      <c r="B871" s="1"/>
      <c r="C871" s="3"/>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spans="1:69" ht="15.75" customHeight="1" x14ac:dyDescent="0.2">
      <c r="A872" s="1"/>
      <c r="B872" s="1"/>
      <c r="C872" s="3"/>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spans="1:69" ht="15.75" customHeight="1" x14ac:dyDescent="0.2">
      <c r="A873" s="1"/>
      <c r="B873" s="1"/>
      <c r="C873" s="3"/>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spans="1:69" ht="15.75" customHeight="1" x14ac:dyDescent="0.2">
      <c r="A874" s="1"/>
      <c r="B874" s="1"/>
      <c r="C874" s="3"/>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spans="1:69" ht="15.75" customHeight="1" x14ac:dyDescent="0.2">
      <c r="A875" s="1"/>
      <c r="B875" s="1"/>
      <c r="C875" s="3"/>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spans="1:69" ht="15.75" customHeight="1" x14ac:dyDescent="0.2">
      <c r="A876" s="1"/>
      <c r="B876" s="1"/>
      <c r="C876" s="3"/>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spans="1:69" ht="15.75" customHeight="1" x14ac:dyDescent="0.2">
      <c r="A877" s="1"/>
      <c r="B877" s="1"/>
      <c r="C877" s="3"/>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spans="1:69" ht="15.75" customHeight="1" x14ac:dyDescent="0.2">
      <c r="A878" s="1"/>
      <c r="B878" s="1"/>
      <c r="C878" s="3"/>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spans="1:69" ht="15.75" customHeight="1" x14ac:dyDescent="0.2">
      <c r="A879" s="1"/>
      <c r="B879" s="1"/>
      <c r="C879" s="3"/>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spans="1:69" ht="15.75" customHeight="1" x14ac:dyDescent="0.2">
      <c r="A880" s="1"/>
      <c r="B880" s="1"/>
      <c r="C880" s="3"/>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spans="1:69" ht="15.75" customHeight="1" x14ac:dyDescent="0.2">
      <c r="A881" s="1"/>
      <c r="B881" s="1"/>
      <c r="C881" s="3"/>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spans="1:69" ht="15.75" customHeight="1" x14ac:dyDescent="0.2">
      <c r="A882" s="1"/>
      <c r="B882" s="1"/>
      <c r="C882" s="3"/>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spans="1:69" ht="15.75" customHeight="1" x14ac:dyDescent="0.2">
      <c r="A883" s="1"/>
      <c r="B883" s="1"/>
      <c r="C883" s="3"/>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spans="1:69" ht="15.75" customHeight="1" x14ac:dyDescent="0.2">
      <c r="A884" s="1"/>
      <c r="B884" s="1"/>
      <c r="C884" s="3"/>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spans="1:69" ht="15.75" customHeight="1" x14ac:dyDescent="0.2">
      <c r="A885" s="1"/>
      <c r="B885" s="1"/>
      <c r="C885" s="3"/>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spans="1:69" ht="15.75" customHeight="1" x14ac:dyDescent="0.2">
      <c r="A886" s="1"/>
      <c r="B886" s="1"/>
      <c r="C886" s="3"/>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spans="1:69" ht="15.75" customHeight="1" x14ac:dyDescent="0.2">
      <c r="A887" s="1"/>
      <c r="B887" s="1"/>
      <c r="C887" s="3"/>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spans="1:69" ht="15.75" customHeight="1" x14ac:dyDescent="0.2">
      <c r="A888" s="1"/>
      <c r="B888" s="1"/>
      <c r="C888" s="3"/>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spans="1:69" ht="15.75" customHeight="1" x14ac:dyDescent="0.2">
      <c r="A889" s="1"/>
      <c r="B889" s="1"/>
      <c r="C889" s="3"/>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spans="1:69" ht="15.75" customHeight="1" x14ac:dyDescent="0.2">
      <c r="A890" s="1"/>
      <c r="B890" s="1"/>
      <c r="C890" s="3"/>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spans="1:69" ht="15.75" customHeight="1" x14ac:dyDescent="0.2">
      <c r="A891" s="1"/>
      <c r="B891" s="1"/>
      <c r="C891" s="3"/>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spans="1:69" ht="15.75" customHeight="1" x14ac:dyDescent="0.2">
      <c r="A892" s="1"/>
      <c r="B892" s="1"/>
      <c r="C892" s="3"/>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spans="1:69" ht="15.75" customHeight="1" x14ac:dyDescent="0.2">
      <c r="A893" s="1"/>
      <c r="B893" s="1"/>
      <c r="C893" s="3"/>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spans="1:69" ht="15.75" customHeight="1" x14ac:dyDescent="0.2">
      <c r="A894" s="1"/>
      <c r="B894" s="1"/>
      <c r="C894" s="3"/>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spans="1:69" ht="15.75" customHeight="1" x14ac:dyDescent="0.2">
      <c r="A895" s="1"/>
      <c r="B895" s="1"/>
      <c r="C895" s="3"/>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spans="1:69" ht="15.75" customHeight="1" x14ac:dyDescent="0.2">
      <c r="A896" s="1"/>
      <c r="B896" s="1"/>
      <c r="C896" s="3"/>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spans="1:69" ht="15.75" customHeight="1" x14ac:dyDescent="0.2">
      <c r="A897" s="1"/>
      <c r="B897" s="1"/>
      <c r="C897" s="3"/>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spans="1:69" ht="15.75" customHeight="1" x14ac:dyDescent="0.2">
      <c r="A898" s="1"/>
      <c r="B898" s="1"/>
      <c r="C898" s="3"/>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spans="1:69" ht="15.75" customHeight="1" x14ac:dyDescent="0.2">
      <c r="A899" s="1"/>
      <c r="B899" s="1"/>
      <c r="C899" s="3"/>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spans="1:69" ht="15.75" customHeight="1" x14ac:dyDescent="0.2">
      <c r="A900" s="1"/>
      <c r="B900" s="1"/>
      <c r="C900" s="3"/>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spans="1:69" ht="15.75" customHeight="1" x14ac:dyDescent="0.2">
      <c r="A901" s="1"/>
      <c r="B901" s="1"/>
      <c r="C901" s="3"/>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spans="1:69" ht="15.75" customHeight="1" x14ac:dyDescent="0.2">
      <c r="A902" s="1"/>
      <c r="B902" s="1"/>
      <c r="C902" s="3"/>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spans="1:69" ht="15.75" customHeight="1" x14ac:dyDescent="0.2">
      <c r="A903" s="1"/>
      <c r="B903" s="1"/>
      <c r="C903" s="3"/>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spans="1:69" ht="15.75" customHeight="1" x14ac:dyDescent="0.2">
      <c r="A904" s="1"/>
      <c r="B904" s="1"/>
      <c r="C904" s="3"/>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spans="1:69" ht="15.75" customHeight="1" x14ac:dyDescent="0.2">
      <c r="A905" s="1"/>
      <c r="B905" s="1"/>
      <c r="C905" s="3"/>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spans="1:69" ht="15.75" customHeight="1" x14ac:dyDescent="0.2">
      <c r="A906" s="1"/>
      <c r="B906" s="1"/>
      <c r="C906" s="3"/>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spans="1:69" ht="15.75" customHeight="1" x14ac:dyDescent="0.2">
      <c r="A907" s="1"/>
      <c r="B907" s="1"/>
      <c r="C907" s="3"/>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spans="1:69" ht="15.75" customHeight="1" x14ac:dyDescent="0.2">
      <c r="A908" s="1"/>
      <c r="B908" s="1"/>
      <c r="C908" s="3"/>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spans="1:69" ht="15.75" customHeight="1" x14ac:dyDescent="0.2">
      <c r="A909" s="1"/>
      <c r="B909" s="1"/>
      <c r="C909" s="3"/>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spans="1:69" ht="15.75" customHeight="1" x14ac:dyDescent="0.2">
      <c r="A910" s="1"/>
      <c r="B910" s="1"/>
      <c r="C910" s="3"/>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spans="1:69" ht="15.75" customHeight="1" x14ac:dyDescent="0.2">
      <c r="A911" s="1"/>
      <c r="B911" s="1"/>
      <c r="C911" s="3"/>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spans="1:69" ht="15.75" customHeight="1" x14ac:dyDescent="0.2">
      <c r="A912" s="1"/>
      <c r="B912" s="1"/>
      <c r="C912" s="3"/>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spans="1:69" ht="15.75" customHeight="1" x14ac:dyDescent="0.2">
      <c r="A913" s="1"/>
      <c r="B913" s="1"/>
      <c r="C913" s="3"/>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spans="1:69" ht="15.75" customHeight="1" x14ac:dyDescent="0.2">
      <c r="A914" s="1"/>
      <c r="B914" s="1"/>
      <c r="C914" s="3"/>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spans="1:69" ht="15.75" customHeight="1" x14ac:dyDescent="0.2">
      <c r="A915" s="1"/>
      <c r="B915" s="1"/>
      <c r="C915" s="3"/>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spans="1:69" ht="15.75" customHeight="1" x14ac:dyDescent="0.2">
      <c r="A916" s="1"/>
      <c r="B916" s="1"/>
      <c r="C916" s="3"/>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spans="1:69" ht="15.75" customHeight="1" x14ac:dyDescent="0.2">
      <c r="A917" s="1"/>
      <c r="B917" s="1"/>
      <c r="C917" s="3"/>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spans="1:69" ht="15.75" customHeight="1" x14ac:dyDescent="0.2">
      <c r="A918" s="1"/>
      <c r="B918" s="1"/>
      <c r="C918" s="3"/>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spans="1:69" ht="15.75" customHeight="1" x14ac:dyDescent="0.2">
      <c r="A919" s="1"/>
      <c r="B919" s="1"/>
      <c r="C919" s="3"/>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spans="1:69" ht="15.75" customHeight="1" x14ac:dyDescent="0.2">
      <c r="A920" s="1"/>
      <c r="B920" s="1"/>
      <c r="C920" s="3"/>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spans="1:69" ht="15.75" customHeight="1" x14ac:dyDescent="0.2">
      <c r="A921" s="1"/>
      <c r="B921" s="1"/>
      <c r="C921" s="3"/>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spans="1:69" ht="15.75" customHeight="1" x14ac:dyDescent="0.2">
      <c r="A922" s="1"/>
      <c r="B922" s="1"/>
      <c r="C922" s="3"/>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spans="1:69" ht="15.75" customHeight="1" x14ac:dyDescent="0.2">
      <c r="A923" s="1"/>
      <c r="B923" s="1"/>
      <c r="C923" s="3"/>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spans="1:69" ht="15.75" customHeight="1" x14ac:dyDescent="0.2">
      <c r="A924" s="1"/>
      <c r="B924" s="1"/>
      <c r="C924" s="3"/>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spans="1:69" ht="15.75" customHeight="1" x14ac:dyDescent="0.2">
      <c r="A925" s="1"/>
      <c r="B925" s="1"/>
      <c r="C925" s="3"/>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spans="1:69" ht="15.75" customHeight="1" x14ac:dyDescent="0.2">
      <c r="A926" s="1"/>
      <c r="B926" s="1"/>
      <c r="C926" s="3"/>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spans="1:69" ht="15.75" customHeight="1" x14ac:dyDescent="0.2">
      <c r="A927" s="1"/>
      <c r="B927" s="1"/>
      <c r="C927" s="3"/>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spans="1:69" ht="15.75" customHeight="1" x14ac:dyDescent="0.2">
      <c r="A928" s="1"/>
      <c r="B928" s="1"/>
      <c r="C928" s="3"/>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spans="1:69" ht="15.75" customHeight="1" x14ac:dyDescent="0.2">
      <c r="A929" s="1"/>
      <c r="B929" s="1"/>
      <c r="C929" s="3"/>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spans="1:69" ht="15.75" customHeight="1" x14ac:dyDescent="0.2">
      <c r="A930" s="1"/>
      <c r="B930" s="1"/>
      <c r="C930" s="3"/>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spans="1:69" ht="15.75" customHeight="1" x14ac:dyDescent="0.2">
      <c r="A931" s="1"/>
      <c r="B931" s="1"/>
      <c r="C931" s="3"/>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spans="1:69" ht="15.75" customHeight="1" x14ac:dyDescent="0.2">
      <c r="A932" s="1"/>
      <c r="B932" s="1"/>
      <c r="C932" s="3"/>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spans="1:69" ht="15.75" customHeight="1" x14ac:dyDescent="0.2">
      <c r="A933" s="1"/>
      <c r="B933" s="1"/>
      <c r="C933" s="3"/>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spans="1:69" ht="15.75" customHeight="1" x14ac:dyDescent="0.2">
      <c r="A934" s="1"/>
      <c r="B934" s="1"/>
      <c r="C934" s="3"/>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spans="1:69" ht="15.75" customHeight="1" x14ac:dyDescent="0.2">
      <c r="A935" s="1"/>
      <c r="B935" s="1"/>
      <c r="C935" s="3"/>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spans="1:69" ht="15.75" customHeight="1" x14ac:dyDescent="0.2">
      <c r="A936" s="1"/>
      <c r="B936" s="1"/>
      <c r="C936" s="3"/>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spans="1:69" ht="15.75" customHeight="1" x14ac:dyDescent="0.2">
      <c r="A937" s="1"/>
      <c r="B937" s="1"/>
      <c r="C937" s="3"/>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spans="1:69" ht="15.75" customHeight="1" x14ac:dyDescent="0.2">
      <c r="A938" s="1"/>
      <c r="B938" s="1"/>
      <c r="C938" s="3"/>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spans="1:69" ht="15.75" customHeight="1" x14ac:dyDescent="0.2">
      <c r="A939" s="1"/>
      <c r="B939" s="1"/>
      <c r="C939" s="3"/>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spans="1:69" ht="15.75" customHeight="1" x14ac:dyDescent="0.2">
      <c r="A940" s="1"/>
      <c r="B940" s="1"/>
      <c r="C940" s="3"/>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spans="1:69" ht="15.75" customHeight="1" x14ac:dyDescent="0.2">
      <c r="A941" s="1"/>
      <c r="B941" s="1"/>
      <c r="C941" s="3"/>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spans="1:69" ht="15.75" customHeight="1" x14ac:dyDescent="0.2">
      <c r="A942" s="1"/>
      <c r="B942" s="1"/>
      <c r="C942" s="3"/>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spans="1:69" ht="15.75" customHeight="1" x14ac:dyDescent="0.2">
      <c r="A943" s="1"/>
      <c r="B943" s="1"/>
      <c r="C943" s="3"/>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spans="1:69" ht="15.75" customHeight="1" x14ac:dyDescent="0.2">
      <c r="A944" s="1"/>
      <c r="B944" s="1"/>
      <c r="C944" s="3"/>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spans="1:69" ht="15.75" customHeight="1" x14ac:dyDescent="0.2">
      <c r="A945" s="1"/>
      <c r="B945" s="1"/>
      <c r="C945" s="3"/>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spans="1:69" ht="15.75" customHeight="1" x14ac:dyDescent="0.2">
      <c r="A946" s="1"/>
      <c r="B946" s="1"/>
      <c r="C946" s="3"/>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spans="1:69" ht="15.75" customHeight="1" x14ac:dyDescent="0.2">
      <c r="A947" s="1"/>
      <c r="B947" s="1"/>
      <c r="C947" s="3"/>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spans="1:69" ht="15.75" customHeight="1" x14ac:dyDescent="0.2">
      <c r="A948" s="1"/>
      <c r="B948" s="1"/>
      <c r="C948" s="3"/>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spans="1:69" ht="15.75" customHeight="1" x14ac:dyDescent="0.2">
      <c r="A949" s="1"/>
      <c r="B949" s="1"/>
      <c r="C949" s="3"/>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spans="1:69" ht="15.75" customHeight="1" x14ac:dyDescent="0.2">
      <c r="A950" s="1"/>
      <c r="B950" s="1"/>
      <c r="C950" s="3"/>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spans="1:69" ht="15.75" customHeight="1" x14ac:dyDescent="0.2">
      <c r="A951" s="1"/>
      <c r="B951" s="1"/>
      <c r="C951" s="3"/>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spans="1:69" ht="15.75" customHeight="1" x14ac:dyDescent="0.2">
      <c r="A952" s="1"/>
      <c r="B952" s="1"/>
      <c r="C952" s="3"/>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spans="1:69" ht="15.75" customHeight="1" x14ac:dyDescent="0.2">
      <c r="A953" s="1"/>
      <c r="B953" s="1"/>
      <c r="C953" s="3"/>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spans="1:69" ht="15.75" customHeight="1" x14ac:dyDescent="0.2">
      <c r="A954" s="1"/>
      <c r="B954" s="1"/>
      <c r="C954" s="3"/>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spans="1:69" ht="15.75" customHeight="1" x14ac:dyDescent="0.2">
      <c r="A955" s="1"/>
      <c r="B955" s="1"/>
      <c r="C955" s="3"/>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spans="1:69" ht="15.75" customHeight="1" x14ac:dyDescent="0.2">
      <c r="A956" s="1"/>
      <c r="B956" s="1"/>
      <c r="C956" s="3"/>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spans="1:69" ht="15.75" customHeight="1" x14ac:dyDescent="0.2">
      <c r="A957" s="1"/>
      <c r="B957" s="1"/>
      <c r="C957" s="3"/>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spans="1:69" ht="15.75" customHeight="1" x14ac:dyDescent="0.2">
      <c r="A958" s="1"/>
      <c r="B958" s="1"/>
      <c r="C958" s="3"/>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spans="1:69" ht="15.75" customHeight="1" x14ac:dyDescent="0.2">
      <c r="A959" s="1"/>
      <c r="B959" s="1"/>
      <c r="C959" s="3"/>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spans="1:69" ht="15.75" customHeight="1" x14ac:dyDescent="0.2">
      <c r="A960" s="1"/>
      <c r="B960" s="1"/>
      <c r="C960" s="3"/>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spans="1:69" ht="15.75" customHeight="1" x14ac:dyDescent="0.2">
      <c r="A961" s="1"/>
      <c r="B961" s="1"/>
      <c r="C961" s="3"/>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spans="1:69" ht="15.75" customHeight="1" x14ac:dyDescent="0.2">
      <c r="A962" s="1"/>
      <c r="B962" s="1"/>
      <c r="C962" s="3"/>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spans="1:69" ht="15.75" customHeight="1" x14ac:dyDescent="0.2">
      <c r="A963" s="1"/>
      <c r="B963" s="1"/>
      <c r="C963" s="3"/>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spans="1:69" ht="15.75" customHeight="1" x14ac:dyDescent="0.2">
      <c r="A964" s="1"/>
      <c r="B964" s="1"/>
      <c r="C964" s="3"/>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spans="1:69" ht="15.75" customHeight="1" x14ac:dyDescent="0.2">
      <c r="A965" s="1"/>
      <c r="B965" s="1"/>
      <c r="C965" s="3"/>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spans="1:69" ht="15.75" customHeight="1" x14ac:dyDescent="0.2">
      <c r="A966" s="1"/>
      <c r="B966" s="1"/>
      <c r="C966" s="3"/>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spans="1:69" ht="15.75" customHeight="1" x14ac:dyDescent="0.2">
      <c r="A967" s="1"/>
      <c r="B967" s="1"/>
      <c r="C967" s="3"/>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spans="1:69" ht="15.75" customHeight="1" x14ac:dyDescent="0.2">
      <c r="A968" s="1"/>
      <c r="B968" s="1"/>
      <c r="C968" s="3"/>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spans="1:69" ht="15.75" customHeight="1" x14ac:dyDescent="0.2">
      <c r="A969" s="1"/>
      <c r="B969" s="1"/>
      <c r="C969" s="3"/>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spans="1:69" ht="15.75" customHeight="1" x14ac:dyDescent="0.2">
      <c r="A970" s="1"/>
      <c r="B970" s="1"/>
      <c r="C970" s="3"/>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spans="1:69" ht="15.75" customHeight="1" x14ac:dyDescent="0.2">
      <c r="A971" s="1"/>
      <c r="B971" s="1"/>
      <c r="C971" s="3"/>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spans="1:69" ht="15.75" customHeight="1" x14ac:dyDescent="0.2">
      <c r="A972" s="1"/>
      <c r="B972" s="1"/>
      <c r="C972" s="3"/>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spans="1:69" ht="15.75" customHeight="1" x14ac:dyDescent="0.2">
      <c r="A973" s="1"/>
      <c r="B973" s="1"/>
      <c r="C973" s="3"/>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spans="1:69" ht="15.75" customHeight="1" x14ac:dyDescent="0.2">
      <c r="A974" s="1"/>
      <c r="B974" s="1"/>
      <c r="C974" s="3"/>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spans="1:69" ht="15.75" customHeight="1" x14ac:dyDescent="0.2">
      <c r="A975" s="1"/>
      <c r="B975" s="1"/>
      <c r="C975" s="3"/>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spans="1:69" ht="15.75" customHeight="1" x14ac:dyDescent="0.2">
      <c r="A976" s="1"/>
      <c r="B976" s="1"/>
      <c r="C976" s="3"/>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spans="1:69" ht="15.75" customHeight="1" x14ac:dyDescent="0.2">
      <c r="A977" s="1"/>
      <c r="B977" s="1"/>
      <c r="C977" s="3"/>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spans="1:69" ht="15.75" customHeight="1" x14ac:dyDescent="0.2">
      <c r="A978" s="1"/>
      <c r="B978" s="1"/>
      <c r="C978" s="3"/>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spans="1:69" ht="15.75" customHeight="1" x14ac:dyDescent="0.2">
      <c r="A979" s="1"/>
      <c r="B979" s="1"/>
      <c r="C979" s="3"/>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spans="1:69" ht="15.75" customHeight="1" x14ac:dyDescent="0.2">
      <c r="A980" s="1"/>
      <c r="B980" s="1"/>
      <c r="C980" s="3"/>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spans="1:69" ht="15.75" customHeight="1" x14ac:dyDescent="0.2">
      <c r="A981" s="1"/>
      <c r="B981" s="1"/>
      <c r="C981" s="3"/>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spans="1:69" ht="15.75" customHeight="1" x14ac:dyDescent="0.2">
      <c r="A982" s="1"/>
      <c r="B982" s="1"/>
      <c r="C982" s="3"/>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spans="1:69" ht="15.75" customHeight="1" x14ac:dyDescent="0.2">
      <c r="A983" s="1"/>
      <c r="B983" s="1"/>
      <c r="C983" s="3"/>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spans="1:69" ht="15.75" customHeight="1" x14ac:dyDescent="0.2">
      <c r="A984" s="1"/>
      <c r="B984" s="1"/>
      <c r="C984" s="3"/>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spans="1:69" ht="15.75" customHeight="1" x14ac:dyDescent="0.2">
      <c r="A985" s="1"/>
      <c r="B985" s="1"/>
      <c r="C985" s="3"/>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spans="1:69" ht="15.75" customHeight="1" x14ac:dyDescent="0.2">
      <c r="A986" s="1"/>
      <c r="B986" s="1"/>
      <c r="C986" s="3"/>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spans="1:69" ht="15.75" customHeight="1" x14ac:dyDescent="0.2">
      <c r="A987" s="1"/>
      <c r="B987" s="1"/>
      <c r="C987" s="3"/>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spans="1:69" ht="15.75" customHeight="1" x14ac:dyDescent="0.2">
      <c r="A988" s="1"/>
      <c r="B988" s="1"/>
      <c r="C988" s="3"/>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spans="1:69" ht="15.75" customHeight="1" x14ac:dyDescent="0.2">
      <c r="A989" s="1"/>
      <c r="B989" s="1"/>
      <c r="C989" s="3"/>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spans="1:69" ht="15.75" customHeight="1" x14ac:dyDescent="0.2">
      <c r="A990" s="1"/>
      <c r="B990" s="1"/>
      <c r="C990" s="3"/>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spans="1:69" ht="15.75" customHeight="1" x14ac:dyDescent="0.2">
      <c r="A991" s="1"/>
      <c r="B991" s="1"/>
      <c r="C991" s="3"/>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spans="1:69" ht="15.75" customHeight="1" x14ac:dyDescent="0.2">
      <c r="A992" s="1"/>
      <c r="B992" s="1"/>
      <c r="C992" s="3"/>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spans="1:69" ht="15.75" customHeight="1" x14ac:dyDescent="0.2">
      <c r="A993" s="1"/>
      <c r="B993" s="1"/>
      <c r="C993" s="3"/>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spans="1:69" ht="15.75" customHeight="1" x14ac:dyDescent="0.2">
      <c r="A994" s="1"/>
      <c r="B994" s="1"/>
      <c r="C994" s="3"/>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spans="1:69" ht="15.75" customHeight="1" x14ac:dyDescent="0.2">
      <c r="A995" s="1"/>
      <c r="B995" s="1"/>
      <c r="C995" s="3"/>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spans="1:69" ht="15.75" customHeight="1" x14ac:dyDescent="0.2">
      <c r="A996" s="1"/>
      <c r="B996" s="1"/>
      <c r="C996" s="3"/>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spans="1:69" ht="15.75" customHeight="1" x14ac:dyDescent="0.2">
      <c r="A997" s="1"/>
      <c r="B997" s="1"/>
      <c r="C997" s="3"/>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sheetData>
  <mergeCells count="21">
    <mergeCell ref="BG4:BH4"/>
    <mergeCell ref="BJ4:BK4"/>
    <mergeCell ref="BM4:BN4"/>
    <mergeCell ref="BP4:BQ4"/>
    <mergeCell ref="AC4:AD4"/>
    <mergeCell ref="AF4:AG4"/>
    <mergeCell ref="AI4:AJ4"/>
    <mergeCell ref="AL4:AM4"/>
    <mergeCell ref="AO4:AP4"/>
    <mergeCell ref="AR4:AS4"/>
    <mergeCell ref="AU4:AV4"/>
    <mergeCell ref="W4:X4"/>
    <mergeCell ref="Z4:AA4"/>
    <mergeCell ref="AX4:AY4"/>
    <mergeCell ref="BA4:BB4"/>
    <mergeCell ref="BD4:BE4"/>
    <mergeCell ref="H4:I4"/>
    <mergeCell ref="K4:L4"/>
    <mergeCell ref="N4:O4"/>
    <mergeCell ref="Q4:R4"/>
    <mergeCell ref="T4:U4"/>
  </mergeCells>
  <pageMargins left="0.62992125984251968" right="0.62992125984251968" top="0.74803149606299213" bottom="0.74803149606299213" header="0" footer="0"/>
  <pageSetup orientation="landscape"/>
  <colBreaks count="4" manualBreakCount="4">
    <brk id="36" man="1"/>
    <brk id="52" man="1"/>
    <brk id="69" man="1"/>
    <brk id="2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6"/>
  <sheetViews>
    <sheetView workbookViewId="0"/>
  </sheetViews>
  <sheetFormatPr baseColWidth="10" defaultColWidth="14.5" defaultRowHeight="15" customHeight="1" x14ac:dyDescent="0.2"/>
  <cols>
    <col min="1" max="1" width="74.83203125" customWidth="1"/>
    <col min="2" max="2" width="160.33203125" customWidth="1"/>
    <col min="3" max="3" width="60.1640625" customWidth="1"/>
    <col min="4" max="4" width="21" customWidth="1"/>
    <col min="5" max="5" width="9.6640625" customWidth="1"/>
    <col min="6" max="6" width="21.5" customWidth="1"/>
  </cols>
  <sheetData>
    <row r="1" spans="1:6" x14ac:dyDescent="0.2">
      <c r="A1" s="17" t="s">
        <v>0</v>
      </c>
      <c r="B1" s="17"/>
      <c r="C1" s="17"/>
      <c r="D1" s="17"/>
      <c r="E1" s="17"/>
      <c r="F1" s="17"/>
    </row>
    <row r="2" spans="1:6" x14ac:dyDescent="0.2">
      <c r="A2" s="17" t="s">
        <v>1</v>
      </c>
      <c r="B2" s="17"/>
      <c r="C2" s="17"/>
      <c r="D2" s="17"/>
      <c r="E2" s="17"/>
      <c r="F2" s="17"/>
    </row>
    <row r="3" spans="1:6" x14ac:dyDescent="0.2">
      <c r="A3" s="17" t="s">
        <v>100</v>
      </c>
      <c r="B3" s="17"/>
      <c r="C3" s="17"/>
      <c r="D3" s="17"/>
      <c r="E3" s="17"/>
      <c r="F3" s="17"/>
    </row>
    <row r="4" spans="1:6" x14ac:dyDescent="0.2">
      <c r="A4" s="17"/>
      <c r="B4" s="17"/>
      <c r="C4" s="17"/>
      <c r="D4" s="17"/>
      <c r="E4" s="17"/>
      <c r="F4" s="17"/>
    </row>
    <row r="5" spans="1:6" x14ac:dyDescent="0.2">
      <c r="A5" s="17" t="s">
        <v>24</v>
      </c>
      <c r="B5" s="17" t="s">
        <v>25</v>
      </c>
      <c r="C5" s="17" t="s">
        <v>26</v>
      </c>
      <c r="D5" s="17" t="s">
        <v>27</v>
      </c>
      <c r="E5" s="17" t="s">
        <v>28</v>
      </c>
      <c r="F5" s="17" t="s">
        <v>29</v>
      </c>
    </row>
    <row r="6" spans="1:6" x14ac:dyDescent="0.2">
      <c r="A6" s="17" t="s">
        <v>32</v>
      </c>
      <c r="B6" s="17" t="s">
        <v>33</v>
      </c>
      <c r="C6" s="17" t="s">
        <v>34</v>
      </c>
      <c r="D6" s="17" t="s">
        <v>101</v>
      </c>
      <c r="E6" s="17" t="s">
        <v>40</v>
      </c>
      <c r="F6" s="18">
        <v>16</v>
      </c>
    </row>
    <row r="7" spans="1:6" x14ac:dyDescent="0.2">
      <c r="A7" s="17"/>
      <c r="B7" s="17"/>
      <c r="C7" s="17" t="s">
        <v>37</v>
      </c>
      <c r="D7" s="17" t="s">
        <v>102</v>
      </c>
      <c r="E7" s="17" t="s">
        <v>40</v>
      </c>
      <c r="F7" s="18">
        <v>12</v>
      </c>
    </row>
    <row r="8" spans="1:6" x14ac:dyDescent="0.2">
      <c r="A8" s="17"/>
      <c r="B8" s="17"/>
      <c r="C8" s="17" t="s">
        <v>38</v>
      </c>
      <c r="D8" s="17" t="s">
        <v>102</v>
      </c>
      <c r="E8" s="17" t="s">
        <v>40</v>
      </c>
      <c r="F8" s="18">
        <v>8</v>
      </c>
    </row>
    <row r="9" spans="1:6" x14ac:dyDescent="0.2">
      <c r="A9" s="17"/>
      <c r="B9" s="17"/>
      <c r="C9" s="17" t="s">
        <v>39</v>
      </c>
      <c r="D9" s="17" t="s">
        <v>103</v>
      </c>
      <c r="E9" s="17" t="s">
        <v>40</v>
      </c>
      <c r="F9" s="18">
        <v>6</v>
      </c>
    </row>
    <row r="10" spans="1:6" x14ac:dyDescent="0.2">
      <c r="A10" s="17" t="s">
        <v>41</v>
      </c>
      <c r="B10" s="17" t="s">
        <v>42</v>
      </c>
      <c r="C10" s="17" t="s">
        <v>43</v>
      </c>
      <c r="D10" s="17" t="s">
        <v>101</v>
      </c>
      <c r="E10" s="17" t="s">
        <v>40</v>
      </c>
      <c r="F10" s="18">
        <v>10</v>
      </c>
    </row>
    <row r="11" spans="1:6" x14ac:dyDescent="0.2">
      <c r="A11" s="17"/>
      <c r="B11" s="17"/>
      <c r="C11" s="17" t="s">
        <v>44</v>
      </c>
      <c r="D11" s="17" t="s">
        <v>102</v>
      </c>
      <c r="E11" s="17" t="s">
        <v>40</v>
      </c>
      <c r="F11" s="18">
        <v>14</v>
      </c>
    </row>
    <row r="12" spans="1:6" x14ac:dyDescent="0.2">
      <c r="A12" s="17"/>
      <c r="B12" s="17"/>
      <c r="C12" s="17" t="s">
        <v>45</v>
      </c>
      <c r="D12" s="17" t="s">
        <v>102</v>
      </c>
      <c r="E12" s="17" t="s">
        <v>40</v>
      </c>
      <c r="F12" s="18">
        <v>8</v>
      </c>
    </row>
    <row r="13" spans="1:6" x14ac:dyDescent="0.2">
      <c r="A13" s="17"/>
      <c r="B13" s="17"/>
      <c r="C13" s="17" t="s">
        <v>46</v>
      </c>
      <c r="D13" s="17" t="s">
        <v>103</v>
      </c>
      <c r="E13" s="17" t="s">
        <v>40</v>
      </c>
      <c r="F13" s="18">
        <v>6</v>
      </c>
    </row>
    <row r="14" spans="1:6" x14ac:dyDescent="0.2">
      <c r="A14" s="17" t="s">
        <v>47</v>
      </c>
      <c r="B14" s="17" t="s">
        <v>48</v>
      </c>
      <c r="C14" s="17" t="s">
        <v>49</v>
      </c>
      <c r="D14" s="17" t="s">
        <v>101</v>
      </c>
      <c r="E14" s="17" t="s">
        <v>40</v>
      </c>
      <c r="F14" s="18">
        <v>12</v>
      </c>
    </row>
    <row r="15" spans="1:6" x14ac:dyDescent="0.2">
      <c r="A15" s="17"/>
      <c r="B15" s="17"/>
      <c r="C15" s="17" t="s">
        <v>50</v>
      </c>
      <c r="D15" s="17" t="s">
        <v>102</v>
      </c>
      <c r="E15" s="17" t="s">
        <v>40</v>
      </c>
      <c r="F15" s="18">
        <v>10</v>
      </c>
    </row>
    <row r="16" spans="1:6" x14ac:dyDescent="0.2">
      <c r="A16" s="17"/>
      <c r="B16" s="17"/>
      <c r="C16" s="17" t="s">
        <v>51</v>
      </c>
      <c r="D16" s="17" t="s">
        <v>103</v>
      </c>
      <c r="E16" s="17" t="s">
        <v>40</v>
      </c>
      <c r="F16" s="18">
        <v>8</v>
      </c>
    </row>
    <row r="17" spans="1:6" x14ac:dyDescent="0.2">
      <c r="A17" s="17"/>
      <c r="B17" s="17"/>
      <c r="C17" s="17" t="s">
        <v>52</v>
      </c>
      <c r="D17" s="17" t="s">
        <v>102</v>
      </c>
      <c r="E17" s="17" t="s">
        <v>40</v>
      </c>
      <c r="F17" s="18">
        <v>6</v>
      </c>
    </row>
    <row r="18" spans="1:6" x14ac:dyDescent="0.2">
      <c r="A18" s="17" t="s">
        <v>53</v>
      </c>
      <c r="B18" s="17" t="s">
        <v>54</v>
      </c>
      <c r="C18" s="17" t="s">
        <v>55</v>
      </c>
      <c r="D18" s="17" t="s">
        <v>101</v>
      </c>
      <c r="E18" s="17" t="s">
        <v>40</v>
      </c>
      <c r="F18" s="18">
        <v>14</v>
      </c>
    </row>
    <row r="19" spans="1:6" x14ac:dyDescent="0.2">
      <c r="A19" s="17"/>
      <c r="B19" s="17"/>
      <c r="C19" s="17" t="s">
        <v>56</v>
      </c>
      <c r="D19" s="17" t="s">
        <v>101</v>
      </c>
      <c r="E19" s="17" t="s">
        <v>40</v>
      </c>
      <c r="F19" s="18">
        <v>10</v>
      </c>
    </row>
    <row r="20" spans="1:6" x14ac:dyDescent="0.2">
      <c r="A20" s="17"/>
      <c r="B20" s="17"/>
      <c r="C20" s="17" t="s">
        <v>57</v>
      </c>
      <c r="D20" s="17" t="s">
        <v>102</v>
      </c>
      <c r="E20" s="17" t="s">
        <v>40</v>
      </c>
      <c r="F20" s="18">
        <v>12</v>
      </c>
    </row>
    <row r="21" spans="1:6" x14ac:dyDescent="0.2">
      <c r="A21" s="17"/>
      <c r="B21" s="17"/>
      <c r="C21" s="17" t="s">
        <v>58</v>
      </c>
      <c r="D21" s="17" t="s">
        <v>103</v>
      </c>
      <c r="E21" s="17" t="s">
        <v>40</v>
      </c>
      <c r="F21" s="18">
        <v>8</v>
      </c>
    </row>
    <row r="22" spans="1:6" x14ac:dyDescent="0.2">
      <c r="A22" s="17" t="s">
        <v>59</v>
      </c>
      <c r="B22" s="17" t="s">
        <v>60</v>
      </c>
      <c r="C22" s="17" t="s">
        <v>61</v>
      </c>
      <c r="D22" s="17" t="s">
        <v>101</v>
      </c>
      <c r="E22" s="17" t="s">
        <v>40</v>
      </c>
      <c r="F22" s="18">
        <v>16</v>
      </c>
    </row>
    <row r="23" spans="1:6" x14ac:dyDescent="0.2">
      <c r="A23" s="17"/>
      <c r="B23" s="17"/>
      <c r="C23" s="17" t="s">
        <v>104</v>
      </c>
      <c r="D23" s="17" t="s">
        <v>102</v>
      </c>
      <c r="E23" s="17" t="s">
        <v>40</v>
      </c>
      <c r="F23" s="18">
        <v>20</v>
      </c>
    </row>
    <row r="24" spans="1:6" x14ac:dyDescent="0.2">
      <c r="A24" s="17"/>
      <c r="B24" s="17"/>
      <c r="C24" s="17" t="s">
        <v>62</v>
      </c>
      <c r="D24" s="17" t="s">
        <v>103</v>
      </c>
      <c r="E24" s="17" t="s">
        <v>40</v>
      </c>
      <c r="F24" s="18">
        <v>10</v>
      </c>
    </row>
    <row r="25" spans="1:6" x14ac:dyDescent="0.2">
      <c r="A25" s="17"/>
      <c r="B25" s="17"/>
      <c r="C25" s="17" t="s">
        <v>63</v>
      </c>
      <c r="D25" s="17" t="s">
        <v>102</v>
      </c>
      <c r="E25" s="17" t="s">
        <v>40</v>
      </c>
      <c r="F25" s="18">
        <v>12</v>
      </c>
    </row>
    <row r="26" spans="1:6" x14ac:dyDescent="0.2">
      <c r="A26" s="17" t="s">
        <v>64</v>
      </c>
      <c r="B26" s="17" t="s">
        <v>65</v>
      </c>
      <c r="C26" s="17" t="s">
        <v>66</v>
      </c>
      <c r="D26" s="17" t="s">
        <v>102</v>
      </c>
      <c r="E26" s="17" t="s">
        <v>40</v>
      </c>
      <c r="F26" s="18">
        <v>18</v>
      </c>
    </row>
    <row r="27" spans="1:6" x14ac:dyDescent="0.2">
      <c r="A27" s="17"/>
      <c r="B27" s="17"/>
      <c r="C27" s="17" t="s">
        <v>67</v>
      </c>
      <c r="D27" s="17" t="s">
        <v>101</v>
      </c>
      <c r="E27" s="17" t="s">
        <v>40</v>
      </c>
      <c r="F27" s="18">
        <v>12</v>
      </c>
    </row>
    <row r="28" spans="1:6" x14ac:dyDescent="0.2">
      <c r="A28" s="17"/>
      <c r="B28" s="17"/>
      <c r="C28" s="17" t="s">
        <v>68</v>
      </c>
      <c r="D28" s="17" t="s">
        <v>103</v>
      </c>
      <c r="E28" s="17" t="s">
        <v>40</v>
      </c>
      <c r="F28" s="18">
        <v>14</v>
      </c>
    </row>
    <row r="29" spans="1:6" x14ac:dyDescent="0.2">
      <c r="A29" s="17"/>
      <c r="B29" s="17"/>
      <c r="C29" s="17" t="s">
        <v>69</v>
      </c>
      <c r="D29" s="17" t="s">
        <v>102</v>
      </c>
      <c r="E29" s="17" t="s">
        <v>40</v>
      </c>
      <c r="F29" s="18">
        <v>8</v>
      </c>
    </row>
    <row r="30" spans="1:6" x14ac:dyDescent="0.2">
      <c r="A30" s="17" t="s">
        <v>70</v>
      </c>
      <c r="B30" s="17" t="s">
        <v>71</v>
      </c>
      <c r="C30" s="17" t="s">
        <v>72</v>
      </c>
      <c r="D30" s="17" t="s">
        <v>101</v>
      </c>
      <c r="E30" s="17" t="s">
        <v>40</v>
      </c>
      <c r="F30" s="18">
        <v>16</v>
      </c>
    </row>
    <row r="31" spans="1:6" x14ac:dyDescent="0.2">
      <c r="A31" s="17"/>
      <c r="B31" s="17"/>
      <c r="C31" s="17" t="s">
        <v>73</v>
      </c>
      <c r="D31" s="17" t="s">
        <v>102</v>
      </c>
      <c r="E31" s="17" t="s">
        <v>40</v>
      </c>
      <c r="F31" s="18">
        <v>14</v>
      </c>
    </row>
    <row r="32" spans="1:6" x14ac:dyDescent="0.2">
      <c r="A32" s="17"/>
      <c r="B32" s="17"/>
      <c r="C32" s="17" t="s">
        <v>74</v>
      </c>
      <c r="D32" s="17" t="s">
        <v>102</v>
      </c>
      <c r="E32" s="17" t="s">
        <v>40</v>
      </c>
      <c r="F32" s="18">
        <v>8</v>
      </c>
    </row>
    <row r="33" spans="1:6" x14ac:dyDescent="0.2">
      <c r="A33" s="17"/>
      <c r="B33" s="17"/>
      <c r="C33" s="17" t="s">
        <v>75</v>
      </c>
      <c r="D33" s="17" t="s">
        <v>103</v>
      </c>
      <c r="E33" s="17" t="s">
        <v>40</v>
      </c>
      <c r="F33" s="18">
        <v>10</v>
      </c>
    </row>
    <row r="34" spans="1:6" x14ac:dyDescent="0.2">
      <c r="A34" s="17" t="s">
        <v>76</v>
      </c>
      <c r="B34" s="17" t="s">
        <v>77</v>
      </c>
      <c r="C34" s="17" t="s">
        <v>78</v>
      </c>
      <c r="D34" s="17" t="s">
        <v>101</v>
      </c>
      <c r="E34" s="17" t="s">
        <v>40</v>
      </c>
      <c r="F34" s="18">
        <v>10</v>
      </c>
    </row>
    <row r="35" spans="1:6" x14ac:dyDescent="0.2">
      <c r="A35" s="17"/>
      <c r="B35" s="17"/>
      <c r="C35" s="17" t="s">
        <v>79</v>
      </c>
      <c r="D35" s="17" t="s">
        <v>102</v>
      </c>
      <c r="E35" s="17" t="s">
        <v>40</v>
      </c>
      <c r="F35" s="18">
        <v>12</v>
      </c>
    </row>
    <row r="36" spans="1:6" x14ac:dyDescent="0.2">
      <c r="A36" s="17"/>
      <c r="B36" s="17"/>
      <c r="C36" s="17" t="s">
        <v>80</v>
      </c>
      <c r="D36" s="17" t="s">
        <v>103</v>
      </c>
      <c r="E36" s="17" t="s">
        <v>40</v>
      </c>
      <c r="F36" s="18">
        <v>8</v>
      </c>
    </row>
    <row r="37" spans="1:6" x14ac:dyDescent="0.2">
      <c r="A37" s="17"/>
      <c r="B37" s="17"/>
      <c r="C37" s="17" t="s">
        <v>81</v>
      </c>
      <c r="D37" s="17" t="s">
        <v>102</v>
      </c>
      <c r="E37" s="17" t="s">
        <v>40</v>
      </c>
      <c r="F37" s="18">
        <v>6</v>
      </c>
    </row>
    <row r="38" spans="1:6" x14ac:dyDescent="0.2">
      <c r="A38" s="17" t="s">
        <v>82</v>
      </c>
      <c r="B38" s="17" t="s">
        <v>83</v>
      </c>
      <c r="C38" s="17" t="s">
        <v>84</v>
      </c>
      <c r="D38" s="17" t="s">
        <v>102</v>
      </c>
      <c r="E38" s="17" t="s">
        <v>40</v>
      </c>
      <c r="F38" s="18">
        <v>14</v>
      </c>
    </row>
    <row r="39" spans="1:6" x14ac:dyDescent="0.2">
      <c r="A39" s="17"/>
      <c r="B39" s="17"/>
      <c r="C39" s="17" t="s">
        <v>85</v>
      </c>
      <c r="D39" s="17" t="s">
        <v>101</v>
      </c>
      <c r="E39" s="17" t="s">
        <v>40</v>
      </c>
      <c r="F39" s="18">
        <v>8</v>
      </c>
    </row>
    <row r="40" spans="1:6" x14ac:dyDescent="0.2">
      <c r="A40" s="17"/>
      <c r="B40" s="17"/>
      <c r="C40" s="17" t="s">
        <v>86</v>
      </c>
      <c r="D40" s="17" t="s">
        <v>103</v>
      </c>
      <c r="E40" s="17" t="s">
        <v>40</v>
      </c>
      <c r="F40" s="18">
        <v>10</v>
      </c>
    </row>
    <row r="41" spans="1:6" x14ac:dyDescent="0.2">
      <c r="A41" s="17"/>
      <c r="B41" s="17"/>
      <c r="C41" s="17" t="s">
        <v>87</v>
      </c>
      <c r="D41" s="17" t="s">
        <v>102</v>
      </c>
      <c r="E41" s="17" t="s">
        <v>40</v>
      </c>
      <c r="F41" s="18">
        <v>6</v>
      </c>
    </row>
    <row r="42" spans="1:6" x14ac:dyDescent="0.2">
      <c r="A42" s="17" t="s">
        <v>88</v>
      </c>
      <c r="B42" s="17" t="s">
        <v>89</v>
      </c>
      <c r="C42" s="17" t="s">
        <v>90</v>
      </c>
      <c r="D42" s="17" t="s">
        <v>102</v>
      </c>
      <c r="E42" s="17" t="s">
        <v>40</v>
      </c>
      <c r="F42" s="18">
        <v>18</v>
      </c>
    </row>
    <row r="43" spans="1:6" x14ac:dyDescent="0.2">
      <c r="A43" s="17"/>
      <c r="B43" s="17"/>
      <c r="C43" s="17" t="s">
        <v>91</v>
      </c>
      <c r="D43" s="17" t="s">
        <v>103</v>
      </c>
      <c r="E43" s="17" t="s">
        <v>40</v>
      </c>
      <c r="F43" s="18">
        <v>12</v>
      </c>
    </row>
    <row r="44" spans="1:6" x14ac:dyDescent="0.2">
      <c r="A44" s="17"/>
      <c r="B44" s="17"/>
      <c r="C44" s="17" t="s">
        <v>92</v>
      </c>
      <c r="D44" s="17" t="s">
        <v>102</v>
      </c>
      <c r="E44" s="17" t="s">
        <v>40</v>
      </c>
      <c r="F44" s="18">
        <v>14</v>
      </c>
    </row>
    <row r="45" spans="1:6" x14ac:dyDescent="0.2">
      <c r="A45" s="17"/>
      <c r="B45" s="17"/>
      <c r="C45" s="17" t="s">
        <v>93</v>
      </c>
      <c r="D45" s="17" t="s">
        <v>101</v>
      </c>
      <c r="E45" s="17" t="s">
        <v>40</v>
      </c>
      <c r="F45" s="18">
        <v>10</v>
      </c>
    </row>
    <row r="46" spans="1:6" x14ac:dyDescent="0.2">
      <c r="A46" s="17" t="s">
        <v>94</v>
      </c>
      <c r="B46" s="17" t="s">
        <v>95</v>
      </c>
      <c r="C46" s="17" t="s">
        <v>96</v>
      </c>
      <c r="D46" s="17" t="s">
        <v>101</v>
      </c>
      <c r="E46" s="17" t="s">
        <v>40</v>
      </c>
      <c r="F46" s="18">
        <v>12</v>
      </c>
    </row>
    <row r="47" spans="1:6" x14ac:dyDescent="0.2">
      <c r="A47" s="17"/>
      <c r="B47" s="17"/>
      <c r="C47" s="17" t="s">
        <v>97</v>
      </c>
      <c r="D47" s="17" t="s">
        <v>102</v>
      </c>
      <c r="E47" s="17" t="s">
        <v>40</v>
      </c>
      <c r="F47" s="18">
        <v>14</v>
      </c>
    </row>
    <row r="48" spans="1:6" x14ac:dyDescent="0.2">
      <c r="A48" s="17"/>
      <c r="B48" s="17"/>
      <c r="C48" s="17" t="s">
        <v>98</v>
      </c>
      <c r="D48" s="17" t="s">
        <v>103</v>
      </c>
      <c r="E48" s="17" t="s">
        <v>40</v>
      </c>
      <c r="F48" s="18">
        <v>10</v>
      </c>
    </row>
    <row r="49" spans="1:6" x14ac:dyDescent="0.2">
      <c r="A49" s="17"/>
      <c r="B49" s="17"/>
      <c r="C49" s="17" t="s">
        <v>99</v>
      </c>
      <c r="D49" s="17" t="s">
        <v>102</v>
      </c>
      <c r="E49" s="17" t="s">
        <v>40</v>
      </c>
      <c r="F49" s="18">
        <v>8</v>
      </c>
    </row>
    <row r="50" spans="1:6" x14ac:dyDescent="0.2">
      <c r="A50" s="17"/>
      <c r="B50" s="17"/>
      <c r="C50" s="17"/>
      <c r="D50" s="17"/>
      <c r="E50" s="17"/>
      <c r="F50" s="17"/>
    </row>
    <row r="51" spans="1:6" x14ac:dyDescent="0.2">
      <c r="A51" s="17" t="s">
        <v>105</v>
      </c>
      <c r="B51" s="17"/>
      <c r="C51" s="17"/>
      <c r="D51" s="17"/>
      <c r="E51" s="17"/>
      <c r="F51" s="17"/>
    </row>
    <row r="52" spans="1:6" x14ac:dyDescent="0.2">
      <c r="A52" s="17" t="s">
        <v>106</v>
      </c>
      <c r="B52" s="17"/>
      <c r="C52" s="17"/>
      <c r="D52" s="17"/>
      <c r="E52" s="17"/>
      <c r="F52" s="17"/>
    </row>
    <row r="53" spans="1:6" x14ac:dyDescent="0.2">
      <c r="A53" s="17" t="s">
        <v>107</v>
      </c>
      <c r="B53" s="17"/>
      <c r="C53" s="17"/>
      <c r="D53" s="17"/>
      <c r="E53" s="17"/>
      <c r="F53" s="17"/>
    </row>
    <row r="54" spans="1:6" x14ac:dyDescent="0.2">
      <c r="A54" s="17" t="s">
        <v>108</v>
      </c>
      <c r="B54" s="17"/>
      <c r="C54" s="17"/>
      <c r="D54" s="17"/>
      <c r="E54" s="17"/>
      <c r="F54" s="17"/>
    </row>
    <row r="55" spans="1:6" x14ac:dyDescent="0.2">
      <c r="A55" s="17" t="s">
        <v>109</v>
      </c>
      <c r="B55" s="17"/>
      <c r="C55" s="17"/>
      <c r="D55" s="17"/>
      <c r="E55" s="17"/>
      <c r="F55" s="17"/>
    </row>
    <row r="56" spans="1:6" x14ac:dyDescent="0.2">
      <c r="A56" s="17" t="s">
        <v>110</v>
      </c>
      <c r="B56" s="17"/>
      <c r="C56" s="17"/>
      <c r="D56" s="17"/>
      <c r="E56" s="17"/>
      <c r="F56"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1" width="1.5" customWidth="1"/>
    <col min="2" max="2" width="27.6640625" customWidth="1"/>
    <col min="3" max="3" width="86" customWidth="1"/>
    <col min="4" max="4" width="2.83203125" customWidth="1"/>
    <col min="5" max="6" width="11.5" customWidth="1"/>
    <col min="7" max="26" width="10.6640625" customWidth="1"/>
  </cols>
  <sheetData>
    <row r="1" spans="1:26" ht="29" x14ac:dyDescent="0.35">
      <c r="A1" s="1"/>
      <c r="B1" s="2" t="s">
        <v>111</v>
      </c>
      <c r="C1" s="1"/>
      <c r="D1" s="1"/>
      <c r="E1" s="1"/>
      <c r="F1" s="1"/>
      <c r="G1" s="1"/>
      <c r="H1" s="1"/>
      <c r="I1" s="1"/>
      <c r="J1" s="1"/>
      <c r="K1" s="1"/>
      <c r="L1" s="1"/>
      <c r="M1" s="1"/>
      <c r="N1" s="1"/>
      <c r="O1" s="1"/>
      <c r="P1" s="1"/>
      <c r="Q1" s="1"/>
      <c r="R1" s="1"/>
      <c r="S1" s="1"/>
      <c r="T1" s="1"/>
      <c r="U1" s="1"/>
      <c r="V1" s="1"/>
      <c r="W1" s="1"/>
      <c r="X1" s="1"/>
      <c r="Y1" s="1"/>
      <c r="Z1" s="1"/>
    </row>
    <row r="2" spans="1:26" ht="21" x14ac:dyDescent="0.25">
      <c r="A2" s="1"/>
      <c r="B2" s="4" t="s">
        <v>2</v>
      </c>
      <c r="C2" s="1"/>
      <c r="D2" s="1"/>
      <c r="E2" s="1"/>
      <c r="F2" s="1"/>
      <c r="G2" s="1"/>
      <c r="H2" s="1"/>
      <c r="I2" s="1"/>
      <c r="J2" s="1"/>
      <c r="K2" s="1"/>
      <c r="L2" s="1"/>
      <c r="M2" s="1"/>
      <c r="N2" s="1"/>
      <c r="O2" s="1"/>
      <c r="P2" s="1"/>
      <c r="Q2" s="1"/>
      <c r="R2" s="1"/>
      <c r="S2" s="1"/>
      <c r="T2" s="1"/>
      <c r="U2" s="1"/>
      <c r="V2" s="1"/>
      <c r="W2" s="1"/>
      <c r="X2" s="1"/>
      <c r="Y2" s="1"/>
      <c r="Z2" s="1"/>
    </row>
    <row r="3" spans="1:26" x14ac:dyDescent="0.2">
      <c r="A3" s="1"/>
      <c r="B3" s="1"/>
      <c r="C3" s="1"/>
      <c r="D3" s="1"/>
      <c r="E3" s="1"/>
      <c r="F3" s="1"/>
      <c r="G3" s="1"/>
      <c r="H3" s="1"/>
      <c r="I3" s="1"/>
      <c r="J3" s="1"/>
      <c r="K3" s="1"/>
      <c r="L3" s="1"/>
      <c r="M3" s="1"/>
      <c r="N3" s="1"/>
      <c r="O3" s="1"/>
      <c r="P3" s="1"/>
      <c r="Q3" s="1"/>
      <c r="R3" s="1"/>
      <c r="S3" s="1"/>
      <c r="T3" s="1"/>
      <c r="U3" s="1"/>
      <c r="V3" s="1"/>
      <c r="W3" s="1"/>
      <c r="X3" s="1"/>
      <c r="Y3" s="1"/>
      <c r="Z3" s="1"/>
    </row>
    <row r="4" spans="1:26" x14ac:dyDescent="0.2">
      <c r="A4" s="1"/>
      <c r="B4" s="19" t="s">
        <v>112</v>
      </c>
      <c r="C4" s="19" t="s">
        <v>113</v>
      </c>
      <c r="D4" s="1"/>
      <c r="E4" s="1"/>
      <c r="F4" s="1"/>
      <c r="G4" s="1"/>
      <c r="H4" s="1"/>
      <c r="I4" s="1"/>
      <c r="J4" s="1"/>
      <c r="K4" s="1"/>
      <c r="L4" s="1"/>
      <c r="M4" s="1"/>
      <c r="N4" s="1"/>
      <c r="O4" s="1"/>
      <c r="P4" s="1"/>
      <c r="Q4" s="1"/>
      <c r="R4" s="1"/>
      <c r="S4" s="1"/>
      <c r="T4" s="1"/>
      <c r="U4" s="1"/>
      <c r="V4" s="1"/>
      <c r="W4" s="1"/>
      <c r="X4" s="1"/>
      <c r="Y4" s="1"/>
      <c r="Z4" s="1"/>
    </row>
    <row r="5" spans="1:26" ht="32" x14ac:dyDescent="0.2">
      <c r="A5" s="1"/>
      <c r="B5" s="8" t="str">
        <f>'Historias de Usuario'!B5</f>
        <v>Identificador (ID) de item de product backlog</v>
      </c>
      <c r="C5" s="8" t="s">
        <v>114</v>
      </c>
      <c r="D5" s="1"/>
      <c r="E5" s="1"/>
      <c r="F5" s="1"/>
      <c r="G5" s="1"/>
      <c r="H5" s="1"/>
      <c r="I5" s="1"/>
      <c r="J5" s="1"/>
      <c r="K5" s="1"/>
      <c r="L5" s="1"/>
      <c r="M5" s="1"/>
      <c r="N5" s="1"/>
      <c r="O5" s="1"/>
      <c r="P5" s="1"/>
      <c r="Q5" s="1"/>
      <c r="R5" s="1"/>
      <c r="S5" s="1"/>
      <c r="T5" s="1"/>
      <c r="U5" s="1"/>
      <c r="V5" s="1"/>
      <c r="W5" s="1"/>
      <c r="X5" s="1"/>
      <c r="Y5" s="1"/>
      <c r="Z5" s="1"/>
    </row>
    <row r="6" spans="1:26" ht="32" x14ac:dyDescent="0.2">
      <c r="A6" s="1"/>
      <c r="B6" s="8" t="str">
        <f>'Historias de Usuario'!C5</f>
        <v>Enunciado del item de Product Backlog</v>
      </c>
      <c r="C6" s="8" t="s">
        <v>115</v>
      </c>
      <c r="D6" s="1"/>
      <c r="E6" s="1"/>
      <c r="F6" s="1"/>
      <c r="G6" s="1"/>
      <c r="H6" s="1"/>
      <c r="I6" s="1"/>
      <c r="J6" s="1"/>
      <c r="K6" s="1"/>
      <c r="L6" s="1"/>
      <c r="M6" s="1"/>
      <c r="N6" s="1"/>
      <c r="O6" s="1"/>
      <c r="P6" s="1"/>
      <c r="Q6" s="1"/>
      <c r="R6" s="1"/>
      <c r="S6" s="1"/>
      <c r="T6" s="1"/>
      <c r="U6" s="1"/>
      <c r="V6" s="1"/>
      <c r="W6" s="1"/>
      <c r="X6" s="1"/>
      <c r="Y6" s="1"/>
      <c r="Z6" s="1"/>
    </row>
    <row r="7" spans="1:26" ht="64" x14ac:dyDescent="0.2">
      <c r="A7" s="1"/>
      <c r="B7" s="8" t="s">
        <v>26</v>
      </c>
      <c r="C7" s="8" t="s">
        <v>116</v>
      </c>
      <c r="D7" s="1"/>
      <c r="E7" s="1"/>
      <c r="F7" s="1"/>
      <c r="G7" s="1"/>
      <c r="H7" s="1"/>
      <c r="I7" s="1"/>
      <c r="J7" s="1"/>
      <c r="K7" s="1"/>
      <c r="L7" s="1"/>
      <c r="M7" s="1"/>
      <c r="N7" s="1"/>
      <c r="O7" s="1"/>
      <c r="P7" s="1"/>
      <c r="Q7" s="1"/>
      <c r="R7" s="1"/>
      <c r="S7" s="1"/>
      <c r="T7" s="1"/>
      <c r="U7" s="1"/>
      <c r="V7" s="1"/>
      <c r="W7" s="1"/>
      <c r="X7" s="1"/>
      <c r="Y7" s="1"/>
      <c r="Z7" s="1"/>
    </row>
    <row r="8" spans="1:26" ht="64" x14ac:dyDescent="0.2">
      <c r="A8" s="1"/>
      <c r="B8" s="8" t="s">
        <v>27</v>
      </c>
      <c r="C8" s="8" t="s">
        <v>117</v>
      </c>
      <c r="D8" s="1"/>
      <c r="E8" s="1"/>
      <c r="F8" s="1"/>
      <c r="G8" s="1"/>
      <c r="H8" s="1"/>
      <c r="I8" s="1"/>
      <c r="J8" s="1"/>
      <c r="K8" s="1"/>
      <c r="L8" s="1"/>
      <c r="M8" s="1"/>
      <c r="N8" s="1"/>
      <c r="O8" s="1"/>
      <c r="P8" s="1"/>
      <c r="Q8" s="1"/>
      <c r="R8" s="1"/>
      <c r="S8" s="1"/>
      <c r="T8" s="1"/>
      <c r="U8" s="1"/>
      <c r="V8" s="1"/>
      <c r="W8" s="1"/>
      <c r="X8" s="1"/>
      <c r="Y8" s="1"/>
      <c r="Z8" s="1"/>
    </row>
    <row r="9" spans="1:26" ht="48" x14ac:dyDescent="0.2">
      <c r="A9" s="1"/>
      <c r="B9" s="8" t="s">
        <v>28</v>
      </c>
      <c r="C9" s="8" t="s">
        <v>118</v>
      </c>
      <c r="D9" s="1"/>
      <c r="E9" s="1"/>
      <c r="F9" s="1"/>
      <c r="G9" s="1"/>
      <c r="H9" s="1"/>
      <c r="I9" s="1"/>
      <c r="J9" s="1"/>
      <c r="K9" s="1"/>
      <c r="L9" s="1"/>
      <c r="M9" s="1"/>
      <c r="N9" s="1"/>
      <c r="O9" s="1"/>
      <c r="P9" s="1"/>
      <c r="Q9" s="1"/>
      <c r="R9" s="1"/>
      <c r="S9" s="1"/>
      <c r="T9" s="1"/>
      <c r="U9" s="1"/>
      <c r="V9" s="1"/>
      <c r="W9" s="1"/>
      <c r="X9" s="1"/>
      <c r="Y9" s="1"/>
      <c r="Z9" s="1"/>
    </row>
    <row r="10" spans="1:26" ht="32" x14ac:dyDescent="0.2">
      <c r="A10" s="1"/>
      <c r="B10" s="8" t="s">
        <v>29</v>
      </c>
      <c r="C10" s="8" t="s">
        <v>119</v>
      </c>
      <c r="D10" s="1"/>
      <c r="E10" s="1"/>
      <c r="F10" s="1"/>
      <c r="G10" s="1"/>
      <c r="H10" s="1"/>
      <c r="I10" s="1"/>
      <c r="J10" s="1"/>
      <c r="K10" s="1"/>
      <c r="L10" s="1"/>
      <c r="M10" s="1"/>
      <c r="N10" s="1"/>
      <c r="O10" s="1"/>
      <c r="P10" s="1"/>
      <c r="Q10" s="1"/>
      <c r="R10" s="1"/>
      <c r="S10" s="1"/>
      <c r="T10" s="1"/>
      <c r="U10" s="1"/>
      <c r="V10" s="1"/>
      <c r="W10" s="1"/>
      <c r="X10" s="1"/>
      <c r="Y10" s="1"/>
      <c r="Z10" s="1"/>
    </row>
    <row r="11" spans="1:26" ht="32" x14ac:dyDescent="0.2">
      <c r="A11" s="1"/>
      <c r="B11" s="8" t="s">
        <v>120</v>
      </c>
      <c r="C11" s="8" t="s">
        <v>121</v>
      </c>
      <c r="D11" s="1"/>
      <c r="E11" s="1"/>
      <c r="F11" s="1"/>
      <c r="G11" s="1"/>
      <c r="H11" s="1"/>
      <c r="I11" s="1"/>
      <c r="J11" s="1"/>
      <c r="K11" s="1"/>
      <c r="L11" s="1"/>
      <c r="M11" s="1"/>
      <c r="N11" s="1"/>
      <c r="O11" s="1"/>
      <c r="P11" s="1"/>
      <c r="Q11" s="1"/>
      <c r="R11" s="1"/>
      <c r="S11" s="1"/>
      <c r="T11" s="1"/>
      <c r="U11" s="1"/>
      <c r="V11" s="1"/>
      <c r="W11" s="1"/>
      <c r="X11" s="1"/>
      <c r="Y11" s="1"/>
      <c r="Z11" s="1"/>
    </row>
    <row r="12" spans="1:26" ht="16" x14ac:dyDescent="0.2">
      <c r="A12" s="1"/>
      <c r="B12" s="8" t="s">
        <v>30</v>
      </c>
      <c r="C12" s="8" t="s">
        <v>122</v>
      </c>
      <c r="D12" s="1"/>
      <c r="E12" s="1"/>
      <c r="F12" s="1"/>
      <c r="G12" s="1"/>
      <c r="H12" s="1"/>
      <c r="I12" s="1"/>
      <c r="J12" s="1"/>
      <c r="K12" s="1"/>
      <c r="L12" s="1"/>
      <c r="M12" s="1"/>
      <c r="N12" s="1"/>
      <c r="O12" s="1"/>
      <c r="P12" s="1"/>
      <c r="Q12" s="1"/>
      <c r="R12" s="1"/>
      <c r="S12" s="1"/>
      <c r="T12" s="1"/>
      <c r="U12" s="1"/>
      <c r="V12" s="1"/>
      <c r="W12" s="1"/>
      <c r="X12" s="1"/>
      <c r="Y12" s="1"/>
      <c r="Z12" s="1"/>
    </row>
    <row r="13" spans="1:26" ht="48" x14ac:dyDescent="0.2">
      <c r="A13" s="1"/>
      <c r="B13" s="8" t="s">
        <v>31</v>
      </c>
      <c r="C13" s="8" t="s">
        <v>123</v>
      </c>
      <c r="D13" s="1"/>
      <c r="E13" s="1"/>
      <c r="F13" s="1"/>
      <c r="G13" s="1"/>
      <c r="H13" s="1"/>
      <c r="I13" s="1"/>
      <c r="J13" s="1"/>
      <c r="K13" s="1"/>
      <c r="L13" s="1"/>
      <c r="M13" s="1"/>
      <c r="N13" s="1"/>
      <c r="O13" s="1"/>
      <c r="P13" s="1"/>
      <c r="Q13" s="1"/>
      <c r="R13" s="1"/>
      <c r="S13" s="1"/>
      <c r="T13" s="1"/>
      <c r="U13" s="1"/>
      <c r="V13" s="1"/>
      <c r="W13" s="1"/>
      <c r="X13" s="1"/>
      <c r="Y13" s="1"/>
      <c r="Z13" s="1"/>
    </row>
    <row r="14" spans="1:26" ht="32" x14ac:dyDescent="0.2">
      <c r="A14" s="1"/>
      <c r="B14" s="8" t="s">
        <v>23</v>
      </c>
      <c r="C14" s="8" t="s">
        <v>124</v>
      </c>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Hoja 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Tomas Esteban Aguilera Cerda</cp:lastModifiedBy>
  <dcterms:created xsi:type="dcterms:W3CDTF">2012-09-02T03:53:17Z</dcterms:created>
  <dcterms:modified xsi:type="dcterms:W3CDTF">2025-11-15T06:57:36Z</dcterms:modified>
</cp:coreProperties>
</file>